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5600" windowHeight="8010"/>
  </bookViews>
  <sheets>
    <sheet name="Mixture of 2 Gaussian dist." sheetId="1" r:id="rId1"/>
    <sheet name="Simulated data with conf. reg." sheetId="4" r:id="rId2"/>
    <sheet name="Simulation data" sheetId="3" r:id="rId3"/>
  </sheets>
  <calcPr calcId="144525"/>
</workbook>
</file>

<file path=xl/calcChain.xml><?xml version="1.0" encoding="utf-8"?>
<calcChain xmlns="http://schemas.openxmlformats.org/spreadsheetml/2006/main">
  <c r="E7" i="4" l="1"/>
  <c r="L16" i="3" l="1"/>
  <c r="F14" i="3"/>
  <c r="D15" i="3"/>
  <c r="E15" i="3"/>
  <c r="E14" i="3"/>
  <c r="D14" i="3"/>
  <c r="F4" i="3"/>
  <c r="E4" i="3"/>
  <c r="G4" i="3" s="1"/>
  <c r="E5" i="3"/>
  <c r="D5" i="3"/>
  <c r="D4" i="3"/>
  <c r="H1" i="3"/>
  <c r="G14" i="4"/>
  <c r="G13" i="4"/>
  <c r="H10" i="4"/>
  <c r="G5" i="4"/>
  <c r="G4" i="4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21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F372" i="3"/>
  <c r="G372" i="3"/>
  <c r="F373" i="3"/>
  <c r="G373" i="3"/>
  <c r="F374" i="3"/>
  <c r="G374" i="3"/>
  <c r="F375" i="3"/>
  <c r="G375" i="3"/>
  <c r="F376" i="3"/>
  <c r="G376" i="3"/>
  <c r="F377" i="3"/>
  <c r="G377" i="3"/>
  <c r="F378" i="3"/>
  <c r="G378" i="3"/>
  <c r="F379" i="3"/>
  <c r="G379" i="3"/>
  <c r="F380" i="3"/>
  <c r="G380" i="3"/>
  <c r="F381" i="3"/>
  <c r="G381" i="3"/>
  <c r="F382" i="3"/>
  <c r="G382" i="3"/>
  <c r="F383" i="3"/>
  <c r="G383" i="3"/>
  <c r="F384" i="3"/>
  <c r="G384" i="3"/>
  <c r="F385" i="3"/>
  <c r="G385" i="3"/>
  <c r="F386" i="3"/>
  <c r="G386" i="3"/>
  <c r="F387" i="3"/>
  <c r="G387" i="3"/>
  <c r="F388" i="3"/>
  <c r="G388" i="3"/>
  <c r="F389" i="3"/>
  <c r="G389" i="3"/>
  <c r="F390" i="3"/>
  <c r="G390" i="3"/>
  <c r="F391" i="3"/>
  <c r="G391" i="3"/>
  <c r="F392" i="3"/>
  <c r="G392" i="3"/>
  <c r="F393" i="3"/>
  <c r="G393" i="3"/>
  <c r="F394" i="3"/>
  <c r="G394" i="3"/>
  <c r="F395" i="3"/>
  <c r="G395" i="3"/>
  <c r="F396" i="3"/>
  <c r="G396" i="3"/>
  <c r="F397" i="3"/>
  <c r="G397" i="3"/>
  <c r="F398" i="3"/>
  <c r="G398" i="3"/>
  <c r="F399" i="3"/>
  <c r="G399" i="3"/>
  <c r="F400" i="3"/>
  <c r="G400" i="3"/>
  <c r="F401" i="3"/>
  <c r="G401" i="3"/>
  <c r="F402" i="3"/>
  <c r="G402" i="3"/>
  <c r="F403" i="3"/>
  <c r="G403" i="3"/>
  <c r="F404" i="3"/>
  <c r="G404" i="3"/>
  <c r="F405" i="3"/>
  <c r="G405" i="3"/>
  <c r="F406" i="3"/>
  <c r="G406" i="3"/>
  <c r="F407" i="3"/>
  <c r="G407" i="3"/>
  <c r="F408" i="3"/>
  <c r="G408" i="3"/>
  <c r="F409" i="3"/>
  <c r="G409" i="3"/>
  <c r="F410" i="3"/>
  <c r="G410" i="3"/>
  <c r="F411" i="3"/>
  <c r="G411" i="3"/>
  <c r="F412" i="3"/>
  <c r="G412" i="3"/>
  <c r="F413" i="3"/>
  <c r="G413" i="3"/>
  <c r="F414" i="3"/>
  <c r="G414" i="3"/>
  <c r="F415" i="3"/>
  <c r="G415" i="3"/>
  <c r="F416" i="3"/>
  <c r="G416" i="3"/>
  <c r="F417" i="3"/>
  <c r="G417" i="3"/>
  <c r="F418" i="3"/>
  <c r="G418" i="3"/>
  <c r="F419" i="3"/>
  <c r="G419" i="3"/>
  <c r="F420" i="3"/>
  <c r="G420" i="3"/>
  <c r="F421" i="3"/>
  <c r="G421" i="3"/>
  <c r="F422" i="3"/>
  <c r="G422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21" i="3"/>
  <c r="F322" i="3"/>
  <c r="G322" i="3"/>
  <c r="F323" i="3"/>
  <c r="G323" i="3"/>
  <c r="F324" i="3"/>
  <c r="G324" i="3"/>
  <c r="F325" i="3"/>
  <c r="G325" i="3"/>
  <c r="F326" i="3"/>
  <c r="G326" i="3"/>
  <c r="F327" i="3"/>
  <c r="G327" i="3"/>
  <c r="F328" i="3"/>
  <c r="G328" i="3"/>
  <c r="F329" i="3"/>
  <c r="G329" i="3"/>
  <c r="F330" i="3"/>
  <c r="G330" i="3"/>
  <c r="F331" i="3"/>
  <c r="G331" i="3"/>
  <c r="F332" i="3"/>
  <c r="G332" i="3"/>
  <c r="F333" i="3"/>
  <c r="G333" i="3"/>
  <c r="F334" i="3"/>
  <c r="G334" i="3"/>
  <c r="F335" i="3"/>
  <c r="G335" i="3"/>
  <c r="F336" i="3"/>
  <c r="G336" i="3"/>
  <c r="F337" i="3"/>
  <c r="G337" i="3"/>
  <c r="F338" i="3"/>
  <c r="G338" i="3"/>
  <c r="F339" i="3"/>
  <c r="G339" i="3"/>
  <c r="F340" i="3"/>
  <c r="G340" i="3"/>
  <c r="F341" i="3"/>
  <c r="G341" i="3"/>
  <c r="F342" i="3"/>
  <c r="G342" i="3"/>
  <c r="F343" i="3"/>
  <c r="G343" i="3"/>
  <c r="F344" i="3"/>
  <c r="G344" i="3"/>
  <c r="F345" i="3"/>
  <c r="G345" i="3"/>
  <c r="F346" i="3"/>
  <c r="G346" i="3"/>
  <c r="F347" i="3"/>
  <c r="G347" i="3"/>
  <c r="F348" i="3"/>
  <c r="G348" i="3"/>
  <c r="F349" i="3"/>
  <c r="G349" i="3"/>
  <c r="F350" i="3"/>
  <c r="G350" i="3"/>
  <c r="F351" i="3"/>
  <c r="G351" i="3"/>
  <c r="F352" i="3"/>
  <c r="G352" i="3"/>
  <c r="F353" i="3"/>
  <c r="G353" i="3"/>
  <c r="F354" i="3"/>
  <c r="G354" i="3"/>
  <c r="F355" i="3"/>
  <c r="G355" i="3"/>
  <c r="F356" i="3"/>
  <c r="G356" i="3"/>
  <c r="F357" i="3"/>
  <c r="G357" i="3"/>
  <c r="F358" i="3"/>
  <c r="G358" i="3"/>
  <c r="F359" i="3"/>
  <c r="G359" i="3"/>
  <c r="F360" i="3"/>
  <c r="G360" i="3"/>
  <c r="F361" i="3"/>
  <c r="G361" i="3"/>
  <c r="F362" i="3"/>
  <c r="G362" i="3"/>
  <c r="F363" i="3"/>
  <c r="G363" i="3"/>
  <c r="F364" i="3"/>
  <c r="G364" i="3"/>
  <c r="F365" i="3"/>
  <c r="G365" i="3"/>
  <c r="F366" i="3"/>
  <c r="G366" i="3"/>
  <c r="F367" i="3"/>
  <c r="G367" i="3"/>
  <c r="F368" i="3"/>
  <c r="G368" i="3"/>
  <c r="F369" i="3"/>
  <c r="G369" i="3"/>
  <c r="F370" i="3"/>
  <c r="G370" i="3"/>
  <c r="F371" i="3"/>
  <c r="G371" i="3"/>
  <c r="G321" i="3"/>
  <c r="F321" i="3"/>
  <c r="R19" i="3"/>
  <c r="O19" i="3"/>
  <c r="E8" i="4" l="1"/>
  <c r="E17" i="3"/>
  <c r="L14" i="3" s="1"/>
  <c r="E7" i="3"/>
  <c r="L4" i="3" s="1"/>
  <c r="B22" i="3"/>
  <c r="E22" i="3" s="1"/>
  <c r="B23" i="3"/>
  <c r="E23" i="3" s="1"/>
  <c r="B24" i="3"/>
  <c r="E24" i="3" s="1"/>
  <c r="B25" i="3"/>
  <c r="E25" i="3" s="1"/>
  <c r="B26" i="3"/>
  <c r="E26" i="3" s="1"/>
  <c r="B27" i="3"/>
  <c r="E27" i="3" s="1"/>
  <c r="B28" i="3"/>
  <c r="E28" i="3" s="1"/>
  <c r="B29" i="3"/>
  <c r="E29" i="3" s="1"/>
  <c r="B30" i="3"/>
  <c r="E30" i="3" s="1"/>
  <c r="B31" i="3"/>
  <c r="E31" i="3" s="1"/>
  <c r="B32" i="3"/>
  <c r="E32" i="3" s="1"/>
  <c r="B33" i="3"/>
  <c r="E33" i="3" s="1"/>
  <c r="B34" i="3"/>
  <c r="E34" i="3" s="1"/>
  <c r="B35" i="3"/>
  <c r="E35" i="3" s="1"/>
  <c r="B36" i="3"/>
  <c r="E36" i="3" s="1"/>
  <c r="B37" i="3"/>
  <c r="E37" i="3" s="1"/>
  <c r="B38" i="3"/>
  <c r="E38" i="3" s="1"/>
  <c r="B39" i="3"/>
  <c r="E39" i="3" s="1"/>
  <c r="B40" i="3"/>
  <c r="E40" i="3" s="1"/>
  <c r="B41" i="3"/>
  <c r="E41" i="3" s="1"/>
  <c r="B42" i="3"/>
  <c r="E42" i="3" s="1"/>
  <c r="B43" i="3"/>
  <c r="E43" i="3" s="1"/>
  <c r="B44" i="3"/>
  <c r="E44" i="3" s="1"/>
  <c r="B45" i="3"/>
  <c r="E45" i="3" s="1"/>
  <c r="B46" i="3"/>
  <c r="E46" i="3" s="1"/>
  <c r="B47" i="3"/>
  <c r="E47" i="3" s="1"/>
  <c r="B48" i="3"/>
  <c r="E48" i="3" s="1"/>
  <c r="B49" i="3"/>
  <c r="E49" i="3" s="1"/>
  <c r="B50" i="3"/>
  <c r="E50" i="3" s="1"/>
  <c r="B51" i="3"/>
  <c r="E51" i="3" s="1"/>
  <c r="B52" i="3"/>
  <c r="E52" i="3" s="1"/>
  <c r="B53" i="3"/>
  <c r="E53" i="3" s="1"/>
  <c r="B54" i="3"/>
  <c r="E54" i="3" s="1"/>
  <c r="B55" i="3"/>
  <c r="E55" i="3" s="1"/>
  <c r="B56" i="3"/>
  <c r="E56" i="3" s="1"/>
  <c r="B57" i="3"/>
  <c r="E57" i="3" s="1"/>
  <c r="B58" i="3"/>
  <c r="E58" i="3" s="1"/>
  <c r="B59" i="3"/>
  <c r="E59" i="3" s="1"/>
  <c r="B60" i="3"/>
  <c r="E60" i="3" s="1"/>
  <c r="B61" i="3"/>
  <c r="E61" i="3" s="1"/>
  <c r="B62" i="3"/>
  <c r="E62" i="3" s="1"/>
  <c r="B63" i="3"/>
  <c r="E63" i="3" s="1"/>
  <c r="B64" i="3"/>
  <c r="E64" i="3" s="1"/>
  <c r="B65" i="3"/>
  <c r="E65" i="3" s="1"/>
  <c r="B66" i="3"/>
  <c r="E66" i="3" s="1"/>
  <c r="B67" i="3"/>
  <c r="E67" i="3" s="1"/>
  <c r="B68" i="3"/>
  <c r="E68" i="3" s="1"/>
  <c r="B69" i="3"/>
  <c r="E69" i="3" s="1"/>
  <c r="B70" i="3"/>
  <c r="E70" i="3" s="1"/>
  <c r="B71" i="3"/>
  <c r="E71" i="3" s="1"/>
  <c r="B72" i="3"/>
  <c r="E72" i="3" s="1"/>
  <c r="B73" i="3"/>
  <c r="E73" i="3" s="1"/>
  <c r="B74" i="3"/>
  <c r="E74" i="3" s="1"/>
  <c r="B75" i="3"/>
  <c r="E75" i="3" s="1"/>
  <c r="B76" i="3"/>
  <c r="E76" i="3" s="1"/>
  <c r="B77" i="3"/>
  <c r="E77" i="3" s="1"/>
  <c r="B78" i="3"/>
  <c r="E78" i="3" s="1"/>
  <c r="B79" i="3"/>
  <c r="E79" i="3" s="1"/>
  <c r="B80" i="3"/>
  <c r="E80" i="3" s="1"/>
  <c r="B81" i="3"/>
  <c r="E81" i="3" s="1"/>
  <c r="B82" i="3"/>
  <c r="E82" i="3" s="1"/>
  <c r="B83" i="3"/>
  <c r="E83" i="3" s="1"/>
  <c r="B84" i="3"/>
  <c r="E84" i="3" s="1"/>
  <c r="B85" i="3"/>
  <c r="E85" i="3" s="1"/>
  <c r="B86" i="3"/>
  <c r="E86" i="3" s="1"/>
  <c r="B87" i="3"/>
  <c r="E87" i="3" s="1"/>
  <c r="B88" i="3"/>
  <c r="E88" i="3" s="1"/>
  <c r="B89" i="3"/>
  <c r="E89" i="3" s="1"/>
  <c r="B90" i="3"/>
  <c r="E90" i="3" s="1"/>
  <c r="B91" i="3"/>
  <c r="E91" i="3" s="1"/>
  <c r="B92" i="3"/>
  <c r="E92" i="3" s="1"/>
  <c r="B93" i="3"/>
  <c r="E93" i="3" s="1"/>
  <c r="B94" i="3"/>
  <c r="E94" i="3" s="1"/>
  <c r="B95" i="3"/>
  <c r="E95" i="3" s="1"/>
  <c r="B96" i="3"/>
  <c r="E96" i="3" s="1"/>
  <c r="B97" i="3"/>
  <c r="E97" i="3" s="1"/>
  <c r="B98" i="3"/>
  <c r="E98" i="3" s="1"/>
  <c r="B99" i="3"/>
  <c r="E99" i="3" s="1"/>
  <c r="B100" i="3"/>
  <c r="E100" i="3" s="1"/>
  <c r="B101" i="3"/>
  <c r="E101" i="3" s="1"/>
  <c r="B102" i="3"/>
  <c r="E102" i="3" s="1"/>
  <c r="B103" i="3"/>
  <c r="E103" i="3" s="1"/>
  <c r="B104" i="3"/>
  <c r="E104" i="3" s="1"/>
  <c r="B105" i="3"/>
  <c r="E105" i="3" s="1"/>
  <c r="B106" i="3"/>
  <c r="E106" i="3" s="1"/>
  <c r="B107" i="3"/>
  <c r="E107" i="3" s="1"/>
  <c r="B108" i="3"/>
  <c r="E108" i="3" s="1"/>
  <c r="B109" i="3"/>
  <c r="E109" i="3" s="1"/>
  <c r="B110" i="3"/>
  <c r="E110" i="3" s="1"/>
  <c r="B111" i="3"/>
  <c r="E111" i="3" s="1"/>
  <c r="B112" i="3"/>
  <c r="E112" i="3" s="1"/>
  <c r="B113" i="3"/>
  <c r="E113" i="3" s="1"/>
  <c r="B114" i="3"/>
  <c r="E114" i="3" s="1"/>
  <c r="B115" i="3"/>
  <c r="E115" i="3" s="1"/>
  <c r="B116" i="3"/>
  <c r="E116" i="3" s="1"/>
  <c r="B117" i="3"/>
  <c r="E117" i="3" s="1"/>
  <c r="B118" i="3"/>
  <c r="E118" i="3" s="1"/>
  <c r="B119" i="3"/>
  <c r="E119" i="3" s="1"/>
  <c r="B120" i="3"/>
  <c r="E120" i="3" s="1"/>
  <c r="B121" i="3"/>
  <c r="E121" i="3" s="1"/>
  <c r="B122" i="3"/>
  <c r="E122" i="3" s="1"/>
  <c r="B123" i="3"/>
  <c r="E123" i="3" s="1"/>
  <c r="B124" i="3"/>
  <c r="E124" i="3" s="1"/>
  <c r="B125" i="3"/>
  <c r="E125" i="3" s="1"/>
  <c r="B126" i="3"/>
  <c r="E126" i="3" s="1"/>
  <c r="B127" i="3"/>
  <c r="E127" i="3" s="1"/>
  <c r="B128" i="3"/>
  <c r="E128" i="3" s="1"/>
  <c r="B129" i="3"/>
  <c r="E129" i="3" s="1"/>
  <c r="B130" i="3"/>
  <c r="E130" i="3" s="1"/>
  <c r="B131" i="3"/>
  <c r="E131" i="3" s="1"/>
  <c r="B132" i="3"/>
  <c r="E132" i="3" s="1"/>
  <c r="B133" i="3"/>
  <c r="E133" i="3" s="1"/>
  <c r="B134" i="3"/>
  <c r="E134" i="3" s="1"/>
  <c r="B135" i="3"/>
  <c r="E135" i="3" s="1"/>
  <c r="B136" i="3"/>
  <c r="E136" i="3" s="1"/>
  <c r="B137" i="3"/>
  <c r="E137" i="3" s="1"/>
  <c r="B138" i="3"/>
  <c r="E138" i="3" s="1"/>
  <c r="B139" i="3"/>
  <c r="E139" i="3" s="1"/>
  <c r="B140" i="3"/>
  <c r="E140" i="3" s="1"/>
  <c r="B141" i="3"/>
  <c r="E141" i="3" s="1"/>
  <c r="B142" i="3"/>
  <c r="E142" i="3" s="1"/>
  <c r="B143" i="3"/>
  <c r="E143" i="3" s="1"/>
  <c r="B144" i="3"/>
  <c r="E144" i="3" s="1"/>
  <c r="B145" i="3"/>
  <c r="E145" i="3" s="1"/>
  <c r="B146" i="3"/>
  <c r="E146" i="3" s="1"/>
  <c r="B147" i="3"/>
  <c r="E147" i="3" s="1"/>
  <c r="B148" i="3"/>
  <c r="E148" i="3" s="1"/>
  <c r="B149" i="3"/>
  <c r="E149" i="3" s="1"/>
  <c r="B150" i="3"/>
  <c r="E150" i="3" s="1"/>
  <c r="B151" i="3"/>
  <c r="E151" i="3" s="1"/>
  <c r="B152" i="3"/>
  <c r="E152" i="3" s="1"/>
  <c r="B153" i="3"/>
  <c r="E153" i="3" s="1"/>
  <c r="B154" i="3"/>
  <c r="E154" i="3" s="1"/>
  <c r="B155" i="3"/>
  <c r="E155" i="3" s="1"/>
  <c r="B156" i="3"/>
  <c r="E156" i="3" s="1"/>
  <c r="B157" i="3"/>
  <c r="E157" i="3" s="1"/>
  <c r="B158" i="3"/>
  <c r="E158" i="3" s="1"/>
  <c r="B159" i="3"/>
  <c r="E159" i="3" s="1"/>
  <c r="B160" i="3"/>
  <c r="E160" i="3" s="1"/>
  <c r="B161" i="3"/>
  <c r="E161" i="3" s="1"/>
  <c r="B162" i="3"/>
  <c r="E162" i="3" s="1"/>
  <c r="B163" i="3"/>
  <c r="E163" i="3" s="1"/>
  <c r="B164" i="3"/>
  <c r="E164" i="3" s="1"/>
  <c r="B165" i="3"/>
  <c r="E165" i="3" s="1"/>
  <c r="B166" i="3"/>
  <c r="E166" i="3" s="1"/>
  <c r="B167" i="3"/>
  <c r="E167" i="3" s="1"/>
  <c r="B168" i="3"/>
  <c r="E168" i="3" s="1"/>
  <c r="B169" i="3"/>
  <c r="E169" i="3" s="1"/>
  <c r="B170" i="3"/>
  <c r="E170" i="3" s="1"/>
  <c r="B171" i="3"/>
  <c r="E171" i="3" s="1"/>
  <c r="B172" i="3"/>
  <c r="E172" i="3" s="1"/>
  <c r="B173" i="3"/>
  <c r="E173" i="3" s="1"/>
  <c r="B174" i="3"/>
  <c r="E174" i="3" s="1"/>
  <c r="B175" i="3"/>
  <c r="E175" i="3" s="1"/>
  <c r="B176" i="3"/>
  <c r="E176" i="3" s="1"/>
  <c r="B177" i="3"/>
  <c r="E177" i="3" s="1"/>
  <c r="B178" i="3"/>
  <c r="E178" i="3" s="1"/>
  <c r="B179" i="3"/>
  <c r="E179" i="3" s="1"/>
  <c r="B180" i="3"/>
  <c r="E180" i="3" s="1"/>
  <c r="B181" i="3"/>
  <c r="E181" i="3" s="1"/>
  <c r="B182" i="3"/>
  <c r="E182" i="3" s="1"/>
  <c r="B183" i="3"/>
  <c r="E183" i="3" s="1"/>
  <c r="B184" i="3"/>
  <c r="E184" i="3" s="1"/>
  <c r="B185" i="3"/>
  <c r="E185" i="3" s="1"/>
  <c r="B186" i="3"/>
  <c r="E186" i="3" s="1"/>
  <c r="B187" i="3"/>
  <c r="E187" i="3" s="1"/>
  <c r="B188" i="3"/>
  <c r="E188" i="3" s="1"/>
  <c r="B189" i="3"/>
  <c r="E189" i="3" s="1"/>
  <c r="B190" i="3"/>
  <c r="E190" i="3" s="1"/>
  <c r="B191" i="3"/>
  <c r="E191" i="3" s="1"/>
  <c r="B192" i="3"/>
  <c r="E192" i="3" s="1"/>
  <c r="B193" i="3"/>
  <c r="E193" i="3" s="1"/>
  <c r="B194" i="3"/>
  <c r="E194" i="3" s="1"/>
  <c r="B195" i="3"/>
  <c r="E195" i="3" s="1"/>
  <c r="B196" i="3"/>
  <c r="E196" i="3" s="1"/>
  <c r="B197" i="3"/>
  <c r="E197" i="3" s="1"/>
  <c r="B198" i="3"/>
  <c r="E198" i="3" s="1"/>
  <c r="B199" i="3"/>
  <c r="E199" i="3" s="1"/>
  <c r="B200" i="3"/>
  <c r="E200" i="3" s="1"/>
  <c r="B201" i="3"/>
  <c r="E201" i="3" s="1"/>
  <c r="B202" i="3"/>
  <c r="E202" i="3" s="1"/>
  <c r="B203" i="3"/>
  <c r="E203" i="3" s="1"/>
  <c r="B204" i="3"/>
  <c r="E204" i="3" s="1"/>
  <c r="B205" i="3"/>
  <c r="E205" i="3" s="1"/>
  <c r="B206" i="3"/>
  <c r="E206" i="3" s="1"/>
  <c r="B207" i="3"/>
  <c r="E207" i="3" s="1"/>
  <c r="B208" i="3"/>
  <c r="E208" i="3" s="1"/>
  <c r="B209" i="3"/>
  <c r="E209" i="3" s="1"/>
  <c r="B210" i="3"/>
  <c r="E210" i="3" s="1"/>
  <c r="B211" i="3"/>
  <c r="E211" i="3" s="1"/>
  <c r="B212" i="3"/>
  <c r="E212" i="3" s="1"/>
  <c r="B213" i="3"/>
  <c r="E213" i="3" s="1"/>
  <c r="B214" i="3"/>
  <c r="E214" i="3" s="1"/>
  <c r="B215" i="3"/>
  <c r="E215" i="3" s="1"/>
  <c r="B216" i="3"/>
  <c r="E216" i="3" s="1"/>
  <c r="B217" i="3"/>
  <c r="E217" i="3" s="1"/>
  <c r="B218" i="3"/>
  <c r="E218" i="3" s="1"/>
  <c r="B219" i="3"/>
  <c r="E219" i="3" s="1"/>
  <c r="B220" i="3"/>
  <c r="E220" i="3" s="1"/>
  <c r="B221" i="3"/>
  <c r="E221" i="3" s="1"/>
  <c r="B222" i="3"/>
  <c r="E222" i="3" s="1"/>
  <c r="B223" i="3"/>
  <c r="E223" i="3" s="1"/>
  <c r="B224" i="3"/>
  <c r="E224" i="3" s="1"/>
  <c r="B225" i="3"/>
  <c r="E225" i="3" s="1"/>
  <c r="B226" i="3"/>
  <c r="E226" i="3" s="1"/>
  <c r="B227" i="3"/>
  <c r="E227" i="3" s="1"/>
  <c r="B228" i="3"/>
  <c r="E228" i="3" s="1"/>
  <c r="B229" i="3"/>
  <c r="E229" i="3" s="1"/>
  <c r="B230" i="3"/>
  <c r="E230" i="3" s="1"/>
  <c r="B231" i="3"/>
  <c r="E231" i="3" s="1"/>
  <c r="B232" i="3"/>
  <c r="E232" i="3" s="1"/>
  <c r="B233" i="3"/>
  <c r="E233" i="3" s="1"/>
  <c r="B234" i="3"/>
  <c r="E234" i="3" s="1"/>
  <c r="B235" i="3"/>
  <c r="E235" i="3" s="1"/>
  <c r="B236" i="3"/>
  <c r="E236" i="3" s="1"/>
  <c r="B237" i="3"/>
  <c r="E237" i="3" s="1"/>
  <c r="B238" i="3"/>
  <c r="E238" i="3" s="1"/>
  <c r="B239" i="3"/>
  <c r="E239" i="3" s="1"/>
  <c r="B240" i="3"/>
  <c r="E240" i="3" s="1"/>
  <c r="B241" i="3"/>
  <c r="E241" i="3" s="1"/>
  <c r="B242" i="3"/>
  <c r="E242" i="3" s="1"/>
  <c r="B243" i="3"/>
  <c r="E243" i="3" s="1"/>
  <c r="B244" i="3"/>
  <c r="E244" i="3" s="1"/>
  <c r="B245" i="3"/>
  <c r="E245" i="3" s="1"/>
  <c r="B246" i="3"/>
  <c r="E246" i="3" s="1"/>
  <c r="B247" i="3"/>
  <c r="E247" i="3" s="1"/>
  <c r="B248" i="3"/>
  <c r="E248" i="3" s="1"/>
  <c r="B249" i="3"/>
  <c r="E249" i="3" s="1"/>
  <c r="B250" i="3"/>
  <c r="E250" i="3" s="1"/>
  <c r="B251" i="3"/>
  <c r="E251" i="3" s="1"/>
  <c r="B252" i="3"/>
  <c r="E252" i="3" s="1"/>
  <c r="B253" i="3"/>
  <c r="E253" i="3" s="1"/>
  <c r="B254" i="3"/>
  <c r="E254" i="3" s="1"/>
  <c r="B255" i="3"/>
  <c r="E255" i="3" s="1"/>
  <c r="B256" i="3"/>
  <c r="E256" i="3" s="1"/>
  <c r="B257" i="3"/>
  <c r="E257" i="3" s="1"/>
  <c r="B258" i="3"/>
  <c r="E258" i="3" s="1"/>
  <c r="B259" i="3"/>
  <c r="E259" i="3" s="1"/>
  <c r="B260" i="3"/>
  <c r="E260" i="3" s="1"/>
  <c r="B261" i="3"/>
  <c r="E261" i="3" s="1"/>
  <c r="B262" i="3"/>
  <c r="E262" i="3" s="1"/>
  <c r="B263" i="3"/>
  <c r="E263" i="3" s="1"/>
  <c r="B264" i="3"/>
  <c r="E264" i="3" s="1"/>
  <c r="B265" i="3"/>
  <c r="E265" i="3" s="1"/>
  <c r="B266" i="3"/>
  <c r="E266" i="3" s="1"/>
  <c r="B267" i="3"/>
  <c r="E267" i="3" s="1"/>
  <c r="B268" i="3"/>
  <c r="E268" i="3" s="1"/>
  <c r="B269" i="3"/>
  <c r="E269" i="3" s="1"/>
  <c r="B270" i="3"/>
  <c r="E270" i="3" s="1"/>
  <c r="B271" i="3"/>
  <c r="E271" i="3" s="1"/>
  <c r="B272" i="3"/>
  <c r="E272" i="3" s="1"/>
  <c r="B273" i="3"/>
  <c r="E273" i="3" s="1"/>
  <c r="B274" i="3"/>
  <c r="E274" i="3" s="1"/>
  <c r="B275" i="3"/>
  <c r="E275" i="3" s="1"/>
  <c r="B276" i="3"/>
  <c r="E276" i="3" s="1"/>
  <c r="B277" i="3"/>
  <c r="E277" i="3" s="1"/>
  <c r="B278" i="3"/>
  <c r="E278" i="3" s="1"/>
  <c r="B279" i="3"/>
  <c r="E279" i="3" s="1"/>
  <c r="B280" i="3"/>
  <c r="E280" i="3" s="1"/>
  <c r="B281" i="3"/>
  <c r="E281" i="3" s="1"/>
  <c r="B282" i="3"/>
  <c r="E282" i="3" s="1"/>
  <c r="B283" i="3"/>
  <c r="E283" i="3" s="1"/>
  <c r="B284" i="3"/>
  <c r="E284" i="3" s="1"/>
  <c r="B285" i="3"/>
  <c r="E285" i="3" s="1"/>
  <c r="B286" i="3"/>
  <c r="E286" i="3" s="1"/>
  <c r="B287" i="3"/>
  <c r="E287" i="3" s="1"/>
  <c r="B288" i="3"/>
  <c r="E288" i="3" s="1"/>
  <c r="B289" i="3"/>
  <c r="E289" i="3" s="1"/>
  <c r="B290" i="3"/>
  <c r="E290" i="3" s="1"/>
  <c r="B291" i="3"/>
  <c r="E291" i="3" s="1"/>
  <c r="B292" i="3"/>
  <c r="E292" i="3" s="1"/>
  <c r="B293" i="3"/>
  <c r="E293" i="3" s="1"/>
  <c r="B294" i="3"/>
  <c r="E294" i="3" s="1"/>
  <c r="B295" i="3"/>
  <c r="E295" i="3" s="1"/>
  <c r="B296" i="3"/>
  <c r="E296" i="3" s="1"/>
  <c r="B297" i="3"/>
  <c r="E297" i="3" s="1"/>
  <c r="B298" i="3"/>
  <c r="E298" i="3" s="1"/>
  <c r="B299" i="3"/>
  <c r="E299" i="3" s="1"/>
  <c r="B300" i="3"/>
  <c r="E300" i="3" s="1"/>
  <c r="B301" i="3"/>
  <c r="E301" i="3" s="1"/>
  <c r="B302" i="3"/>
  <c r="E302" i="3" s="1"/>
  <c r="B303" i="3"/>
  <c r="E303" i="3" s="1"/>
  <c r="B304" i="3"/>
  <c r="E304" i="3" s="1"/>
  <c r="B305" i="3"/>
  <c r="E305" i="3" s="1"/>
  <c r="B306" i="3"/>
  <c r="E306" i="3" s="1"/>
  <c r="B307" i="3"/>
  <c r="E307" i="3" s="1"/>
  <c r="B308" i="3"/>
  <c r="E308" i="3" s="1"/>
  <c r="B309" i="3"/>
  <c r="E309" i="3" s="1"/>
  <c r="B310" i="3"/>
  <c r="E310" i="3" s="1"/>
  <c r="B311" i="3"/>
  <c r="E311" i="3" s="1"/>
  <c r="B312" i="3"/>
  <c r="E312" i="3" s="1"/>
  <c r="B313" i="3"/>
  <c r="E313" i="3" s="1"/>
  <c r="B314" i="3"/>
  <c r="E314" i="3" s="1"/>
  <c r="B315" i="3"/>
  <c r="E315" i="3" s="1"/>
  <c r="B316" i="3"/>
  <c r="E316" i="3" s="1"/>
  <c r="B317" i="3"/>
  <c r="E317" i="3" s="1"/>
  <c r="B318" i="3"/>
  <c r="E318" i="3" s="1"/>
  <c r="B319" i="3"/>
  <c r="E319" i="3" s="1"/>
  <c r="B320" i="3"/>
  <c r="E320" i="3" s="1"/>
  <c r="B21" i="3"/>
  <c r="E21" i="3" s="1"/>
  <c r="G5" i="3"/>
  <c r="G15" i="3"/>
  <c r="G14" i="3"/>
  <c r="H11" i="3"/>
  <c r="G11" i="1"/>
  <c r="D17" i="1"/>
  <c r="K14" i="1" s="1"/>
  <c r="F15" i="1"/>
  <c r="K9" i="1" s="1"/>
  <c r="F14" i="1"/>
  <c r="K8" i="1" s="1"/>
  <c r="I8" i="1" l="1"/>
  <c r="E18" i="3"/>
  <c r="E8" i="3"/>
  <c r="P4" i="3"/>
  <c r="Q3" i="3"/>
  <c r="P14" i="3"/>
  <c r="Q13" i="3"/>
  <c r="C320" i="3"/>
  <c r="C316" i="3"/>
  <c r="C312" i="3"/>
  <c r="C319" i="3"/>
  <c r="C315" i="3"/>
  <c r="C311" i="3"/>
  <c r="C21" i="3"/>
  <c r="C317" i="3"/>
  <c r="C313" i="3"/>
  <c r="C309" i="3"/>
  <c r="C305" i="3"/>
  <c r="C301" i="3"/>
  <c r="C297" i="3"/>
  <c r="C293" i="3"/>
  <c r="C289" i="3"/>
  <c r="C285" i="3"/>
  <c r="C281" i="3"/>
  <c r="C277" i="3"/>
  <c r="C273" i="3"/>
  <c r="C269" i="3"/>
  <c r="C265" i="3"/>
  <c r="C261" i="3"/>
  <c r="C257" i="3"/>
  <c r="C253" i="3"/>
  <c r="C249" i="3"/>
  <c r="C245" i="3"/>
  <c r="C241" i="3"/>
  <c r="C237" i="3"/>
  <c r="C233" i="3"/>
  <c r="C229" i="3"/>
  <c r="C225" i="3"/>
  <c r="C221" i="3"/>
  <c r="C217" i="3"/>
  <c r="C213" i="3"/>
  <c r="C209" i="3"/>
  <c r="C205" i="3"/>
  <c r="C201" i="3"/>
  <c r="C197" i="3"/>
  <c r="C193" i="3"/>
  <c r="C189" i="3"/>
  <c r="C185" i="3"/>
  <c r="C181" i="3"/>
  <c r="C177" i="3"/>
  <c r="C173" i="3"/>
  <c r="C169" i="3"/>
  <c r="C165" i="3"/>
  <c r="C161" i="3"/>
  <c r="C157" i="3"/>
  <c r="C153" i="3"/>
  <c r="C149" i="3"/>
  <c r="C145" i="3"/>
  <c r="C141" i="3"/>
  <c r="C137" i="3"/>
  <c r="C133" i="3"/>
  <c r="C129" i="3"/>
  <c r="C125" i="3"/>
  <c r="C121" i="3"/>
  <c r="C117" i="3"/>
  <c r="C113" i="3"/>
  <c r="C109" i="3"/>
  <c r="C105" i="3"/>
  <c r="C101" i="3"/>
  <c r="C97" i="3"/>
  <c r="C93" i="3"/>
  <c r="C89" i="3"/>
  <c r="C85" i="3"/>
  <c r="C81" i="3"/>
  <c r="C77" i="3"/>
  <c r="C73" i="3"/>
  <c r="C69" i="3"/>
  <c r="C65" i="3"/>
  <c r="C61" i="3"/>
  <c r="C57" i="3"/>
  <c r="C53" i="3"/>
  <c r="C49" i="3"/>
  <c r="C45" i="3"/>
  <c r="C41" i="3"/>
  <c r="C37" i="3"/>
  <c r="C33" i="3"/>
  <c r="C29" i="3"/>
  <c r="C25" i="3"/>
  <c r="J4" i="3"/>
  <c r="P3" i="3" s="1"/>
  <c r="C308" i="3"/>
  <c r="C304" i="3"/>
  <c r="C300" i="3"/>
  <c r="C296" i="3"/>
  <c r="C292" i="3"/>
  <c r="C288" i="3"/>
  <c r="C284" i="3"/>
  <c r="C280" i="3"/>
  <c r="C276" i="3"/>
  <c r="C272" i="3"/>
  <c r="C268" i="3"/>
  <c r="C264" i="3"/>
  <c r="C260" i="3"/>
  <c r="C256" i="3"/>
  <c r="C252" i="3"/>
  <c r="C248" i="3"/>
  <c r="C244" i="3"/>
  <c r="C240" i="3"/>
  <c r="C236" i="3"/>
  <c r="C232" i="3"/>
  <c r="C228" i="3"/>
  <c r="C224" i="3"/>
  <c r="C220" i="3"/>
  <c r="C216" i="3"/>
  <c r="C212" i="3"/>
  <c r="C208" i="3"/>
  <c r="C204" i="3"/>
  <c r="C200" i="3"/>
  <c r="C196" i="3"/>
  <c r="C192" i="3"/>
  <c r="C188" i="3"/>
  <c r="C184" i="3"/>
  <c r="C180" i="3"/>
  <c r="C176" i="3"/>
  <c r="C172" i="3"/>
  <c r="C168" i="3"/>
  <c r="C164" i="3"/>
  <c r="C160" i="3"/>
  <c r="C156" i="3"/>
  <c r="C152" i="3"/>
  <c r="C148" i="3"/>
  <c r="C144" i="3"/>
  <c r="C140" i="3"/>
  <c r="C136" i="3"/>
  <c r="C132" i="3"/>
  <c r="C128" i="3"/>
  <c r="C124" i="3"/>
  <c r="C120" i="3"/>
  <c r="C116" i="3"/>
  <c r="C112" i="3"/>
  <c r="C108" i="3"/>
  <c r="C104" i="3"/>
  <c r="C100" i="3"/>
  <c r="C96" i="3"/>
  <c r="C92" i="3"/>
  <c r="C88" i="3"/>
  <c r="C84" i="3"/>
  <c r="C80" i="3"/>
  <c r="C76" i="3"/>
  <c r="C72" i="3"/>
  <c r="C68" i="3"/>
  <c r="C64" i="3"/>
  <c r="C60" i="3"/>
  <c r="C56" i="3"/>
  <c r="C52" i="3"/>
  <c r="C48" i="3"/>
  <c r="C44" i="3"/>
  <c r="C40" i="3"/>
  <c r="C36" i="3"/>
  <c r="C32" i="3"/>
  <c r="C28" i="3"/>
  <c r="C24" i="3"/>
  <c r="J14" i="3"/>
  <c r="P13" i="3" s="1"/>
  <c r="C307" i="3"/>
  <c r="C303" i="3"/>
  <c r="C299" i="3"/>
  <c r="C295" i="3"/>
  <c r="C291" i="3"/>
  <c r="C287" i="3"/>
  <c r="C283" i="3"/>
  <c r="C279" i="3"/>
  <c r="C275" i="3"/>
  <c r="C271" i="3"/>
  <c r="C267" i="3"/>
  <c r="C263" i="3"/>
  <c r="C259" i="3"/>
  <c r="C255" i="3"/>
  <c r="C251" i="3"/>
  <c r="C247" i="3"/>
  <c r="C243" i="3"/>
  <c r="C239" i="3"/>
  <c r="C235" i="3"/>
  <c r="C231" i="3"/>
  <c r="C227" i="3"/>
  <c r="C223" i="3"/>
  <c r="C219" i="3"/>
  <c r="C215" i="3"/>
  <c r="C211" i="3"/>
  <c r="C207" i="3"/>
  <c r="C203" i="3"/>
  <c r="C199" i="3"/>
  <c r="C195" i="3"/>
  <c r="C191" i="3"/>
  <c r="C187" i="3"/>
  <c r="C183" i="3"/>
  <c r="C179" i="3"/>
  <c r="C175" i="3"/>
  <c r="C171" i="3"/>
  <c r="C167" i="3"/>
  <c r="C163" i="3"/>
  <c r="C159" i="3"/>
  <c r="C155" i="3"/>
  <c r="C151" i="3"/>
  <c r="C147" i="3"/>
  <c r="C143" i="3"/>
  <c r="C139" i="3"/>
  <c r="C135" i="3"/>
  <c r="C131" i="3"/>
  <c r="C127" i="3"/>
  <c r="C123" i="3"/>
  <c r="C119" i="3"/>
  <c r="C115" i="3"/>
  <c r="C111" i="3"/>
  <c r="C107" i="3"/>
  <c r="C103" i="3"/>
  <c r="C99" i="3"/>
  <c r="C95" i="3"/>
  <c r="C91" i="3"/>
  <c r="C87" i="3"/>
  <c r="C83" i="3"/>
  <c r="C79" i="3"/>
  <c r="C75" i="3"/>
  <c r="C71" i="3"/>
  <c r="C67" i="3"/>
  <c r="C63" i="3"/>
  <c r="C59" i="3"/>
  <c r="C55" i="3"/>
  <c r="C51" i="3"/>
  <c r="C47" i="3"/>
  <c r="C43" i="3"/>
  <c r="C39" i="3"/>
  <c r="C35" i="3"/>
  <c r="C31" i="3"/>
  <c r="C27" i="3"/>
  <c r="C23" i="3"/>
  <c r="K14" i="3"/>
  <c r="Q14" i="3" s="1"/>
  <c r="R18" i="3" s="1"/>
  <c r="C318" i="3"/>
  <c r="C314" i="3"/>
  <c r="C310" i="3"/>
  <c r="C306" i="3"/>
  <c r="C302" i="3"/>
  <c r="C298" i="3"/>
  <c r="C294" i="3"/>
  <c r="C290" i="3"/>
  <c r="C286" i="3"/>
  <c r="C282" i="3"/>
  <c r="C278" i="3"/>
  <c r="C274" i="3"/>
  <c r="C270" i="3"/>
  <c r="C266" i="3"/>
  <c r="C262" i="3"/>
  <c r="C258" i="3"/>
  <c r="C254" i="3"/>
  <c r="C250" i="3"/>
  <c r="C246" i="3"/>
  <c r="C242" i="3"/>
  <c r="C238" i="3"/>
  <c r="C234" i="3"/>
  <c r="C230" i="3"/>
  <c r="C226" i="3"/>
  <c r="C222" i="3"/>
  <c r="C218" i="3"/>
  <c r="C214" i="3"/>
  <c r="C210" i="3"/>
  <c r="C206" i="3"/>
  <c r="C202" i="3"/>
  <c r="C198" i="3"/>
  <c r="C194" i="3"/>
  <c r="C190" i="3"/>
  <c r="C186" i="3"/>
  <c r="C182" i="3"/>
  <c r="C178" i="3"/>
  <c r="C174" i="3"/>
  <c r="C170" i="3"/>
  <c r="C166" i="3"/>
  <c r="C162" i="3"/>
  <c r="C158" i="3"/>
  <c r="C154" i="3"/>
  <c r="C150" i="3"/>
  <c r="C146" i="3"/>
  <c r="C142" i="3"/>
  <c r="C138" i="3"/>
  <c r="C134" i="3"/>
  <c r="C130" i="3"/>
  <c r="C126" i="3"/>
  <c r="C122" i="3"/>
  <c r="C118" i="3"/>
  <c r="C114" i="3"/>
  <c r="C110" i="3"/>
  <c r="C106" i="3"/>
  <c r="C102" i="3"/>
  <c r="C98" i="3"/>
  <c r="C94" i="3"/>
  <c r="C90" i="3"/>
  <c r="C86" i="3"/>
  <c r="C82" i="3"/>
  <c r="C78" i="3"/>
  <c r="C74" i="3"/>
  <c r="C70" i="3"/>
  <c r="C66" i="3"/>
  <c r="C62" i="3"/>
  <c r="C58" i="3"/>
  <c r="C54" i="3"/>
  <c r="C50" i="3"/>
  <c r="C46" i="3"/>
  <c r="C42" i="3"/>
  <c r="C38" i="3"/>
  <c r="C34" i="3"/>
  <c r="C30" i="3"/>
  <c r="C26" i="3"/>
  <c r="C22" i="3"/>
  <c r="K4" i="3"/>
  <c r="Q4" i="3" s="1"/>
  <c r="O18" i="3" s="1"/>
  <c r="I9" i="1"/>
  <c r="D18" i="1"/>
  <c r="J14" i="1"/>
  <c r="I14" i="1"/>
  <c r="D7" i="1"/>
  <c r="D102" i="3" l="1"/>
  <c r="F102" i="3" s="1"/>
  <c r="D198" i="3"/>
  <c r="F198" i="3" s="1"/>
  <c r="D147" i="3"/>
  <c r="F147" i="3" s="1"/>
  <c r="D34" i="3"/>
  <c r="F34" i="3" s="1"/>
  <c r="D66" i="3"/>
  <c r="F66" i="3" s="1"/>
  <c r="D162" i="3"/>
  <c r="G162" i="3" s="1"/>
  <c r="D178" i="3"/>
  <c r="G178" i="3" s="1"/>
  <c r="D290" i="3"/>
  <c r="G290" i="3" s="1"/>
  <c r="D103" i="3"/>
  <c r="F103" i="3" s="1"/>
  <c r="N9" i="3"/>
  <c r="D39" i="3"/>
  <c r="F39" i="3" s="1"/>
  <c r="O17" i="3"/>
  <c r="R17" i="3"/>
  <c r="D106" i="3"/>
  <c r="F106" i="3" s="1"/>
  <c r="D74" i="3"/>
  <c r="F74" i="3" s="1"/>
  <c r="D273" i="3"/>
  <c r="F273" i="3" s="1"/>
  <c r="D310" i="3"/>
  <c r="G310" i="3" s="1"/>
  <c r="D199" i="3"/>
  <c r="G199" i="3" s="1"/>
  <c r="D302" i="3"/>
  <c r="F302" i="3" s="1"/>
  <c r="D50" i="3"/>
  <c r="F50" i="3" s="1"/>
  <c r="D226" i="3"/>
  <c r="G226" i="3" s="1"/>
  <c r="D242" i="3"/>
  <c r="G242" i="3" s="1"/>
  <c r="D316" i="3"/>
  <c r="D70" i="3"/>
  <c r="F70" i="3" s="1"/>
  <c r="D138" i="3"/>
  <c r="F138" i="3" s="1"/>
  <c r="D299" i="3"/>
  <c r="D251" i="3"/>
  <c r="G251" i="3" s="1"/>
  <c r="D55" i="3"/>
  <c r="D33" i="3"/>
  <c r="D21" i="3"/>
  <c r="F21" i="3" s="1"/>
  <c r="D118" i="3"/>
  <c r="D83" i="3"/>
  <c r="D43" i="3"/>
  <c r="D111" i="3"/>
  <c r="D229" i="3"/>
  <c r="D315" i="3"/>
  <c r="D245" i="3"/>
  <c r="D126" i="3"/>
  <c r="D174" i="3"/>
  <c r="D47" i="3"/>
  <c r="D151" i="3"/>
  <c r="D263" i="3"/>
  <c r="D24" i="3"/>
  <c r="D69" i="3"/>
  <c r="D293" i="3"/>
  <c r="D58" i="3"/>
  <c r="D98" i="3"/>
  <c r="D130" i="3"/>
  <c r="D182" i="3"/>
  <c r="D250" i="3"/>
  <c r="D179" i="3"/>
  <c r="D291" i="3"/>
  <c r="D276" i="3"/>
  <c r="D125" i="3"/>
  <c r="D51" i="3"/>
  <c r="D231" i="3"/>
  <c r="D148" i="3"/>
  <c r="D41" i="3"/>
  <c r="D189" i="3"/>
  <c r="D261" i="3"/>
  <c r="D158" i="3"/>
  <c r="D82" i="3"/>
  <c r="D114" i="3"/>
  <c r="D214" i="3"/>
  <c r="D274" i="3"/>
  <c r="D67" i="3"/>
  <c r="D233" i="3"/>
  <c r="D317" i="3"/>
  <c r="D71" i="3"/>
  <c r="D219" i="3"/>
  <c r="D104" i="3"/>
  <c r="D165" i="3"/>
  <c r="D211" i="3"/>
  <c r="D279" i="3"/>
  <c r="D72" i="3"/>
  <c r="D176" i="3"/>
  <c r="D37" i="3"/>
  <c r="D22" i="3"/>
  <c r="D54" i="3"/>
  <c r="D210" i="3"/>
  <c r="D23" i="3"/>
  <c r="D87" i="3"/>
  <c r="D119" i="3"/>
  <c r="D183" i="3"/>
  <c r="D215" i="3"/>
  <c r="D235" i="3"/>
  <c r="D267" i="3"/>
  <c r="D32" i="3"/>
  <c r="D188" i="3"/>
  <c r="D296" i="3"/>
  <c r="D81" i="3"/>
  <c r="D113" i="3"/>
  <c r="D145" i="3"/>
  <c r="D277" i="3"/>
  <c r="D297" i="3"/>
  <c r="D123" i="3"/>
  <c r="D247" i="3"/>
  <c r="D271" i="3"/>
  <c r="D36" i="3"/>
  <c r="D108" i="3"/>
  <c r="D168" i="3"/>
  <c r="D228" i="3"/>
  <c r="D284" i="3"/>
  <c r="D300" i="3"/>
  <c r="D320" i="3"/>
  <c r="D61" i="3"/>
  <c r="D89" i="3"/>
  <c r="D285" i="3"/>
  <c r="D305" i="3"/>
  <c r="D46" i="3"/>
  <c r="D110" i="3"/>
  <c r="D142" i="3"/>
  <c r="D270" i="3"/>
  <c r="D95" i="3"/>
  <c r="D143" i="3"/>
  <c r="D175" i="3"/>
  <c r="D38" i="3"/>
  <c r="D86" i="3"/>
  <c r="D146" i="3"/>
  <c r="D194" i="3"/>
  <c r="D222" i="3"/>
  <c r="D258" i="3"/>
  <c r="D306" i="3"/>
  <c r="D107" i="3"/>
  <c r="D127" i="3"/>
  <c r="D167" i="3"/>
  <c r="D203" i="3"/>
  <c r="D227" i="3"/>
  <c r="D275" i="3"/>
  <c r="D48" i="3"/>
  <c r="D116" i="3"/>
  <c r="D172" i="3"/>
  <c r="D264" i="3"/>
  <c r="D288" i="3"/>
  <c r="D304" i="3"/>
  <c r="D65" i="3"/>
  <c r="D97" i="3"/>
  <c r="D129" i="3"/>
  <c r="D289" i="3"/>
  <c r="D135" i="3"/>
  <c r="D140" i="3"/>
  <c r="D272" i="3"/>
  <c r="D292" i="3"/>
  <c r="D308" i="3"/>
  <c r="D105" i="3"/>
  <c r="D141" i="3"/>
  <c r="D197" i="3"/>
  <c r="D134" i="3"/>
  <c r="D150" i="3"/>
  <c r="D166" i="3"/>
  <c r="D230" i="3"/>
  <c r="D246" i="3"/>
  <c r="D262" i="3"/>
  <c r="D278" i="3"/>
  <c r="D294" i="3"/>
  <c r="D27" i="3"/>
  <c r="D59" i="3"/>
  <c r="D75" i="3"/>
  <c r="D91" i="3"/>
  <c r="D139" i="3"/>
  <c r="D155" i="3"/>
  <c r="D171" i="3"/>
  <c r="D187" i="3"/>
  <c r="D283" i="3"/>
  <c r="D64" i="3"/>
  <c r="D80" i="3"/>
  <c r="D96" i="3"/>
  <c r="D112" i="3"/>
  <c r="D128" i="3"/>
  <c r="D144" i="3"/>
  <c r="D160" i="3"/>
  <c r="D192" i="3"/>
  <c r="D208" i="3"/>
  <c r="D224" i="3"/>
  <c r="D240" i="3"/>
  <c r="D256" i="3"/>
  <c r="D53" i="3"/>
  <c r="D85" i="3"/>
  <c r="D101" i="3"/>
  <c r="D117" i="3"/>
  <c r="D133" i="3"/>
  <c r="D149" i="3"/>
  <c r="D181" i="3"/>
  <c r="D213" i="3"/>
  <c r="D309" i="3"/>
  <c r="D26" i="3"/>
  <c r="D42" i="3"/>
  <c r="D90" i="3"/>
  <c r="D122" i="3"/>
  <c r="D154" i="3"/>
  <c r="D170" i="3"/>
  <c r="D186" i="3"/>
  <c r="D202" i="3"/>
  <c r="D218" i="3"/>
  <c r="D234" i="3"/>
  <c r="D266" i="3"/>
  <c r="D282" i="3"/>
  <c r="D298" i="3"/>
  <c r="D314" i="3"/>
  <c r="D31" i="3"/>
  <c r="D63" i="3"/>
  <c r="D79" i="3"/>
  <c r="D159" i="3"/>
  <c r="D191" i="3"/>
  <c r="D207" i="3"/>
  <c r="D223" i="3"/>
  <c r="D239" i="3"/>
  <c r="D255" i="3"/>
  <c r="D287" i="3"/>
  <c r="D303" i="3"/>
  <c r="D319" i="3"/>
  <c r="D52" i="3"/>
  <c r="D68" i="3"/>
  <c r="D84" i="3"/>
  <c r="D100" i="3"/>
  <c r="D132" i="3"/>
  <c r="D164" i="3"/>
  <c r="D180" i="3"/>
  <c r="D196" i="3"/>
  <c r="D212" i="3"/>
  <c r="D244" i="3"/>
  <c r="D260" i="3"/>
  <c r="D25" i="3"/>
  <c r="D57" i="3"/>
  <c r="D73" i="3"/>
  <c r="D121" i="3"/>
  <c r="D137" i="3"/>
  <c r="D153" i="3"/>
  <c r="D169" i="3"/>
  <c r="D185" i="3"/>
  <c r="D201" i="3"/>
  <c r="D217" i="3"/>
  <c r="D249" i="3"/>
  <c r="D265" i="3"/>
  <c r="D281" i="3"/>
  <c r="D313" i="3"/>
  <c r="D30" i="3"/>
  <c r="D62" i="3"/>
  <c r="D78" i="3"/>
  <c r="D94" i="3"/>
  <c r="D190" i="3"/>
  <c r="D206" i="3"/>
  <c r="D238" i="3"/>
  <c r="D254" i="3"/>
  <c r="D286" i="3"/>
  <c r="D318" i="3"/>
  <c r="D35" i="3"/>
  <c r="D99" i="3"/>
  <c r="D115" i="3"/>
  <c r="D131" i="3"/>
  <c r="D163" i="3"/>
  <c r="D195" i="3"/>
  <c r="D243" i="3"/>
  <c r="D259" i="3"/>
  <c r="D307" i="3"/>
  <c r="D40" i="3"/>
  <c r="D56" i="3"/>
  <c r="D88" i="3"/>
  <c r="D120" i="3"/>
  <c r="D136" i="3"/>
  <c r="D152" i="3"/>
  <c r="D184" i="3"/>
  <c r="D200" i="3"/>
  <c r="D216" i="3"/>
  <c r="D232" i="3"/>
  <c r="D248" i="3"/>
  <c r="D280" i="3"/>
  <c r="D312" i="3"/>
  <c r="D29" i="3"/>
  <c r="D45" i="3"/>
  <c r="D77" i="3"/>
  <c r="D93" i="3"/>
  <c r="D109" i="3"/>
  <c r="D157" i="3"/>
  <c r="D173" i="3"/>
  <c r="D205" i="3"/>
  <c r="D221" i="3"/>
  <c r="D237" i="3"/>
  <c r="D253" i="3"/>
  <c r="D269" i="3"/>
  <c r="D301" i="3"/>
  <c r="D295" i="3"/>
  <c r="D311" i="3"/>
  <c r="D28" i="3"/>
  <c r="D44" i="3"/>
  <c r="D60" i="3"/>
  <c r="D76" i="3"/>
  <c r="D92" i="3"/>
  <c r="D124" i="3"/>
  <c r="D156" i="3"/>
  <c r="D204" i="3"/>
  <c r="D220" i="3"/>
  <c r="D236" i="3"/>
  <c r="D252" i="3"/>
  <c r="D268" i="3"/>
  <c r="D49" i="3"/>
  <c r="D161" i="3"/>
  <c r="D177" i="3"/>
  <c r="D193" i="3"/>
  <c r="D209" i="3"/>
  <c r="D225" i="3"/>
  <c r="D241" i="3"/>
  <c r="D257" i="3"/>
  <c r="G102" i="3" l="1"/>
  <c r="G198" i="3"/>
  <c r="G66" i="3"/>
  <c r="G147" i="3"/>
  <c r="F162" i="3"/>
  <c r="F178" i="3"/>
  <c r="G34" i="3"/>
  <c r="R21" i="3"/>
  <c r="R25" i="3" s="1"/>
  <c r="T25" i="3" s="1"/>
  <c r="E372" i="3" s="1"/>
  <c r="K372" i="3" s="1"/>
  <c r="F290" i="3"/>
  <c r="O21" i="3"/>
  <c r="N25" i="3" s="1"/>
  <c r="O25" i="3" s="1"/>
  <c r="D321" i="3" s="1"/>
  <c r="H321" i="3" s="1"/>
  <c r="G39" i="3"/>
  <c r="G106" i="3"/>
  <c r="G103" i="3"/>
  <c r="G74" i="3"/>
  <c r="G273" i="3"/>
  <c r="F214" i="3"/>
  <c r="G214" i="3"/>
  <c r="F247" i="3"/>
  <c r="G247" i="3"/>
  <c r="F242" i="3"/>
  <c r="G302" i="3"/>
  <c r="G50" i="3"/>
  <c r="F277" i="3"/>
  <c r="G277" i="3"/>
  <c r="G70" i="3"/>
  <c r="F199" i="3"/>
  <c r="F132" i="3"/>
  <c r="G132" i="3"/>
  <c r="F120" i="3"/>
  <c r="G120" i="3"/>
  <c r="G230" i="3"/>
  <c r="F230" i="3"/>
  <c r="F298" i="3"/>
  <c r="G298" i="3"/>
  <c r="F272" i="3"/>
  <c r="G272" i="3"/>
  <c r="F194" i="3"/>
  <c r="G194" i="3"/>
  <c r="F91" i="3"/>
  <c r="G91" i="3"/>
  <c r="F219" i="3"/>
  <c r="G219" i="3"/>
  <c r="F58" i="3"/>
  <c r="G58" i="3"/>
  <c r="G126" i="3"/>
  <c r="F126" i="3"/>
  <c r="G138" i="3"/>
  <c r="F150" i="3"/>
  <c r="G150" i="3"/>
  <c r="F255" i="3"/>
  <c r="G255" i="3"/>
  <c r="F62" i="3"/>
  <c r="G62" i="3"/>
  <c r="F278" i="3"/>
  <c r="G278" i="3"/>
  <c r="F251" i="3"/>
  <c r="F153" i="3"/>
  <c r="G153" i="3"/>
  <c r="F256" i="3"/>
  <c r="G256" i="3"/>
  <c r="F289" i="3"/>
  <c r="G289" i="3"/>
  <c r="F54" i="3"/>
  <c r="G54" i="3"/>
  <c r="F299" i="3"/>
  <c r="G299" i="3"/>
  <c r="F88" i="3"/>
  <c r="G88" i="3"/>
  <c r="G318" i="3"/>
  <c r="F318" i="3"/>
  <c r="F154" i="3"/>
  <c r="G154" i="3"/>
  <c r="F44" i="3"/>
  <c r="G44" i="3"/>
  <c r="G53" i="3"/>
  <c r="F53" i="3"/>
  <c r="G215" i="3"/>
  <c r="F215" i="3"/>
  <c r="F274" i="3"/>
  <c r="G274" i="3"/>
  <c r="F279" i="3"/>
  <c r="G279" i="3"/>
  <c r="F310" i="3"/>
  <c r="G316" i="3"/>
  <c r="F316" i="3"/>
  <c r="F232" i="3"/>
  <c r="G232" i="3"/>
  <c r="F115" i="3"/>
  <c r="G115" i="3"/>
  <c r="G282" i="3"/>
  <c r="F282" i="3"/>
  <c r="F105" i="3"/>
  <c r="G105" i="3"/>
  <c r="F264" i="3"/>
  <c r="G264" i="3"/>
  <c r="G222" i="3"/>
  <c r="F222" i="3"/>
  <c r="F305" i="3"/>
  <c r="G305" i="3"/>
  <c r="F168" i="3"/>
  <c r="G168" i="3"/>
  <c r="G145" i="3"/>
  <c r="F145" i="3"/>
  <c r="G43" i="3"/>
  <c r="F43" i="3"/>
  <c r="F226" i="3"/>
  <c r="F195" i="3"/>
  <c r="G195" i="3"/>
  <c r="F191" i="3"/>
  <c r="G191" i="3"/>
  <c r="F317" i="3"/>
  <c r="G317" i="3"/>
  <c r="F69" i="3"/>
  <c r="G69" i="3"/>
  <c r="F315" i="3"/>
  <c r="G315" i="3"/>
  <c r="F25" i="3"/>
  <c r="G25" i="3"/>
  <c r="F187" i="3"/>
  <c r="G187" i="3"/>
  <c r="G114" i="3"/>
  <c r="F114" i="3"/>
  <c r="G174" i="3"/>
  <c r="F174" i="3"/>
  <c r="F206" i="3"/>
  <c r="G206" i="3"/>
  <c r="F180" i="3"/>
  <c r="G180" i="3"/>
  <c r="F79" i="3"/>
  <c r="G79" i="3"/>
  <c r="F221" i="3"/>
  <c r="G221" i="3"/>
  <c r="F29" i="3"/>
  <c r="G29" i="3"/>
  <c r="F169" i="3"/>
  <c r="G169" i="3"/>
  <c r="F287" i="3"/>
  <c r="G287" i="3"/>
  <c r="F63" i="3"/>
  <c r="G63" i="3"/>
  <c r="F208" i="3"/>
  <c r="G208" i="3"/>
  <c r="F128" i="3"/>
  <c r="G128" i="3"/>
  <c r="F64" i="3"/>
  <c r="G64" i="3"/>
  <c r="G188" i="3"/>
  <c r="F188" i="3"/>
  <c r="G158" i="3"/>
  <c r="F158" i="3"/>
  <c r="F148" i="3"/>
  <c r="G148" i="3"/>
  <c r="F33" i="3"/>
  <c r="G33" i="3"/>
  <c r="F45" i="3"/>
  <c r="G45" i="3"/>
  <c r="F22" i="3"/>
  <c r="G22" i="3"/>
  <c r="F269" i="3"/>
  <c r="G269" i="3"/>
  <c r="F136" i="3"/>
  <c r="G136" i="3"/>
  <c r="G52" i="3"/>
  <c r="F52" i="3"/>
  <c r="F27" i="3"/>
  <c r="G27" i="3"/>
  <c r="F134" i="3"/>
  <c r="G134" i="3"/>
  <c r="F300" i="3"/>
  <c r="G300" i="3"/>
  <c r="F47" i="3"/>
  <c r="G47" i="3"/>
  <c r="F55" i="3"/>
  <c r="G55" i="3"/>
  <c r="F253" i="3"/>
  <c r="G253" i="3"/>
  <c r="F240" i="3"/>
  <c r="G240" i="3"/>
  <c r="F96" i="3"/>
  <c r="G96" i="3"/>
  <c r="G143" i="3"/>
  <c r="F143" i="3"/>
  <c r="G233" i="3"/>
  <c r="F233" i="3"/>
  <c r="F118" i="3"/>
  <c r="G118" i="3"/>
  <c r="G312" i="3"/>
  <c r="F312" i="3"/>
  <c r="G40" i="3"/>
  <c r="F40" i="3"/>
  <c r="F31" i="3"/>
  <c r="G31" i="3"/>
  <c r="G246" i="3"/>
  <c r="F246" i="3"/>
  <c r="F165" i="3"/>
  <c r="G165" i="3"/>
  <c r="G204" i="3"/>
  <c r="F204" i="3"/>
  <c r="G76" i="3"/>
  <c r="F76" i="3"/>
  <c r="G35" i="3"/>
  <c r="F35" i="3"/>
  <c r="F238" i="3"/>
  <c r="G238" i="3"/>
  <c r="G137" i="3"/>
  <c r="F137" i="3"/>
  <c r="F196" i="3"/>
  <c r="G196" i="3"/>
  <c r="F319" i="3"/>
  <c r="G319" i="3"/>
  <c r="F159" i="3"/>
  <c r="G159" i="3"/>
  <c r="G234" i="3"/>
  <c r="F234" i="3"/>
  <c r="G42" i="3"/>
  <c r="F42" i="3"/>
  <c r="F160" i="3"/>
  <c r="G160" i="3"/>
  <c r="F294" i="3"/>
  <c r="G294" i="3"/>
  <c r="G284" i="3"/>
  <c r="F284" i="3"/>
  <c r="G36" i="3"/>
  <c r="F36" i="3"/>
  <c r="F297" i="3"/>
  <c r="G297" i="3"/>
  <c r="F267" i="3"/>
  <c r="G267" i="3"/>
  <c r="G119" i="3"/>
  <c r="F119" i="3"/>
  <c r="F51" i="3"/>
  <c r="G51" i="3"/>
  <c r="F179" i="3"/>
  <c r="G179" i="3"/>
  <c r="G24" i="3"/>
  <c r="F24" i="3"/>
  <c r="F213" i="3"/>
  <c r="G213" i="3"/>
  <c r="F139" i="3"/>
  <c r="G139" i="3"/>
  <c r="F291" i="3"/>
  <c r="G291" i="3"/>
  <c r="F241" i="3"/>
  <c r="G241" i="3"/>
  <c r="F156" i="3"/>
  <c r="G156" i="3"/>
  <c r="F60" i="3"/>
  <c r="G60" i="3"/>
  <c r="G131" i="3"/>
  <c r="F131" i="3"/>
  <c r="F121" i="3"/>
  <c r="G121" i="3"/>
  <c r="F260" i="3"/>
  <c r="G260" i="3"/>
  <c r="F84" i="3"/>
  <c r="G84" i="3"/>
  <c r="F223" i="3"/>
  <c r="G223" i="3"/>
  <c r="F149" i="3"/>
  <c r="G149" i="3"/>
  <c r="F144" i="3"/>
  <c r="G144" i="3"/>
  <c r="G80" i="3"/>
  <c r="F80" i="3"/>
  <c r="F171" i="3"/>
  <c r="G171" i="3"/>
  <c r="F75" i="3"/>
  <c r="G75" i="3"/>
  <c r="F166" i="3"/>
  <c r="G166" i="3"/>
  <c r="F141" i="3"/>
  <c r="G141" i="3"/>
  <c r="F129" i="3"/>
  <c r="G129" i="3"/>
  <c r="G48" i="3"/>
  <c r="F48" i="3"/>
  <c r="F258" i="3"/>
  <c r="G258" i="3"/>
  <c r="F86" i="3"/>
  <c r="G86" i="3"/>
  <c r="F95" i="3"/>
  <c r="G95" i="3"/>
  <c r="F46" i="3"/>
  <c r="G46" i="3"/>
  <c r="F228" i="3"/>
  <c r="G228" i="3"/>
  <c r="F41" i="3"/>
  <c r="G41" i="3"/>
  <c r="F250" i="3"/>
  <c r="G250" i="3"/>
  <c r="F263" i="3"/>
  <c r="G263" i="3"/>
  <c r="F111" i="3"/>
  <c r="G111" i="3"/>
  <c r="G205" i="3"/>
  <c r="F205" i="3"/>
  <c r="G172" i="3"/>
  <c r="F172" i="3"/>
  <c r="G108" i="3"/>
  <c r="F108" i="3"/>
  <c r="G231" i="3"/>
  <c r="F231" i="3"/>
  <c r="G236" i="3"/>
  <c r="F236" i="3"/>
  <c r="G109" i="3"/>
  <c r="F109" i="3"/>
  <c r="F249" i="3"/>
  <c r="G249" i="3"/>
  <c r="F68" i="3"/>
  <c r="G68" i="3"/>
  <c r="G309" i="3"/>
  <c r="F309" i="3"/>
  <c r="G275" i="3"/>
  <c r="F275" i="3"/>
  <c r="F270" i="3"/>
  <c r="G270" i="3"/>
  <c r="F23" i="3"/>
  <c r="G23" i="3"/>
  <c r="G151" i="3"/>
  <c r="F151" i="3"/>
  <c r="G177" i="3"/>
  <c r="F177" i="3"/>
  <c r="F161" i="3"/>
  <c r="G161" i="3"/>
  <c r="G257" i="3"/>
  <c r="F257" i="3"/>
  <c r="F193" i="3"/>
  <c r="G193" i="3"/>
  <c r="G268" i="3"/>
  <c r="F268" i="3"/>
  <c r="F311" i="3"/>
  <c r="G311" i="3"/>
  <c r="F173" i="3"/>
  <c r="G173" i="3"/>
  <c r="G77" i="3"/>
  <c r="F77" i="3"/>
  <c r="G280" i="3"/>
  <c r="F280" i="3"/>
  <c r="F200" i="3"/>
  <c r="G200" i="3"/>
  <c r="G307" i="3"/>
  <c r="F307" i="3"/>
  <c r="F163" i="3"/>
  <c r="G163" i="3"/>
  <c r="G78" i="3"/>
  <c r="F78" i="3"/>
  <c r="F281" i="3"/>
  <c r="G281" i="3"/>
  <c r="G201" i="3"/>
  <c r="F201" i="3"/>
  <c r="G100" i="3"/>
  <c r="F100" i="3"/>
  <c r="F239" i="3"/>
  <c r="G239" i="3"/>
  <c r="G314" i="3"/>
  <c r="F314" i="3"/>
  <c r="F170" i="3"/>
  <c r="G170" i="3"/>
  <c r="F181" i="3"/>
  <c r="G181" i="3"/>
  <c r="G101" i="3"/>
  <c r="F101" i="3"/>
  <c r="F197" i="3"/>
  <c r="G197" i="3"/>
  <c r="F292" i="3"/>
  <c r="G292" i="3"/>
  <c r="G304" i="3"/>
  <c r="F304" i="3"/>
  <c r="G116" i="3"/>
  <c r="F116" i="3"/>
  <c r="G203" i="3"/>
  <c r="F203" i="3"/>
  <c r="G306" i="3"/>
  <c r="F306" i="3"/>
  <c r="G146" i="3"/>
  <c r="F146" i="3"/>
  <c r="F110" i="3"/>
  <c r="G110" i="3"/>
  <c r="F89" i="3"/>
  <c r="G89" i="3"/>
  <c r="F81" i="3"/>
  <c r="G81" i="3"/>
  <c r="G72" i="3"/>
  <c r="F72" i="3"/>
  <c r="G104" i="3"/>
  <c r="F104" i="3"/>
  <c r="G189" i="3"/>
  <c r="F189" i="3"/>
  <c r="G98" i="3"/>
  <c r="F98" i="3"/>
  <c r="G229" i="3"/>
  <c r="F229" i="3"/>
  <c r="G252" i="3"/>
  <c r="F252" i="3"/>
  <c r="G295" i="3"/>
  <c r="F295" i="3"/>
  <c r="G237" i="3"/>
  <c r="F237" i="3"/>
  <c r="F157" i="3"/>
  <c r="G157" i="3"/>
  <c r="F248" i="3"/>
  <c r="G248" i="3"/>
  <c r="G184" i="3"/>
  <c r="F184" i="3"/>
  <c r="G259" i="3"/>
  <c r="F259" i="3"/>
  <c r="G265" i="3"/>
  <c r="F265" i="3"/>
  <c r="G185" i="3"/>
  <c r="F185" i="3"/>
  <c r="F303" i="3"/>
  <c r="G303" i="3"/>
  <c r="G218" i="3"/>
  <c r="F218" i="3"/>
  <c r="F26" i="3"/>
  <c r="G26" i="3"/>
  <c r="G85" i="3"/>
  <c r="F85" i="3"/>
  <c r="G224" i="3"/>
  <c r="F224" i="3"/>
  <c r="F288" i="3"/>
  <c r="G288" i="3"/>
  <c r="F167" i="3"/>
  <c r="G167" i="3"/>
  <c r="G61" i="3"/>
  <c r="F61" i="3"/>
  <c r="F271" i="3"/>
  <c r="G271" i="3"/>
  <c r="G296" i="3"/>
  <c r="F296" i="3"/>
  <c r="G235" i="3"/>
  <c r="F235" i="3"/>
  <c r="F87" i="3"/>
  <c r="G87" i="3"/>
  <c r="F67" i="3"/>
  <c r="G67" i="3"/>
  <c r="F82" i="3"/>
  <c r="G82" i="3"/>
  <c r="F125" i="3"/>
  <c r="G125" i="3"/>
  <c r="F225" i="3"/>
  <c r="G225" i="3"/>
  <c r="G124" i="3"/>
  <c r="F124" i="3"/>
  <c r="F301" i="3"/>
  <c r="G301" i="3"/>
  <c r="F152" i="3"/>
  <c r="G152" i="3"/>
  <c r="F56" i="3"/>
  <c r="G56" i="3"/>
  <c r="F243" i="3"/>
  <c r="G243" i="3"/>
  <c r="G286" i="3"/>
  <c r="F286" i="3"/>
  <c r="F190" i="3"/>
  <c r="G190" i="3"/>
  <c r="G30" i="3"/>
  <c r="F30" i="3"/>
  <c r="F73" i="3"/>
  <c r="G73" i="3"/>
  <c r="G244" i="3"/>
  <c r="F244" i="3"/>
  <c r="G164" i="3"/>
  <c r="F164" i="3"/>
  <c r="F207" i="3"/>
  <c r="G207" i="3"/>
  <c r="G202" i="3"/>
  <c r="F202" i="3"/>
  <c r="F122" i="3"/>
  <c r="G122" i="3"/>
  <c r="G133" i="3"/>
  <c r="F133" i="3"/>
  <c r="F155" i="3"/>
  <c r="G155" i="3"/>
  <c r="G59" i="3"/>
  <c r="F59" i="3"/>
  <c r="G262" i="3"/>
  <c r="F262" i="3"/>
  <c r="G140" i="3"/>
  <c r="F140" i="3"/>
  <c r="F97" i="3"/>
  <c r="G97" i="3"/>
  <c r="G127" i="3"/>
  <c r="F127" i="3"/>
  <c r="F38" i="3"/>
  <c r="G38" i="3"/>
  <c r="G320" i="3"/>
  <c r="F320" i="3"/>
  <c r="F37" i="3"/>
  <c r="G37" i="3"/>
  <c r="G211" i="3"/>
  <c r="F211" i="3"/>
  <c r="G71" i="3"/>
  <c r="F71" i="3"/>
  <c r="G276" i="3"/>
  <c r="F276" i="3"/>
  <c r="G182" i="3"/>
  <c r="F182" i="3"/>
  <c r="F293" i="3"/>
  <c r="G293" i="3"/>
  <c r="F245" i="3"/>
  <c r="G245" i="3"/>
  <c r="G209" i="3"/>
  <c r="F209" i="3"/>
  <c r="F49" i="3"/>
  <c r="G49" i="3"/>
  <c r="G220" i="3"/>
  <c r="F220" i="3"/>
  <c r="F92" i="3"/>
  <c r="G92" i="3"/>
  <c r="G28" i="3"/>
  <c r="F28" i="3"/>
  <c r="F93" i="3"/>
  <c r="G93" i="3"/>
  <c r="F216" i="3"/>
  <c r="G216" i="3"/>
  <c r="G99" i="3"/>
  <c r="F99" i="3"/>
  <c r="F254" i="3"/>
  <c r="G254" i="3"/>
  <c r="F94" i="3"/>
  <c r="G94" i="3"/>
  <c r="F313" i="3"/>
  <c r="G313" i="3"/>
  <c r="G217" i="3"/>
  <c r="F217" i="3"/>
  <c r="F57" i="3"/>
  <c r="G57" i="3"/>
  <c r="G212" i="3"/>
  <c r="F212" i="3"/>
  <c r="F266" i="3"/>
  <c r="G266" i="3"/>
  <c r="F186" i="3"/>
  <c r="G186" i="3"/>
  <c r="G90" i="3"/>
  <c r="F90" i="3"/>
  <c r="F117" i="3"/>
  <c r="G117" i="3"/>
  <c r="F192" i="3"/>
  <c r="G192" i="3"/>
  <c r="F112" i="3"/>
  <c r="G112" i="3"/>
  <c r="F283" i="3"/>
  <c r="G283" i="3"/>
  <c r="G308" i="3"/>
  <c r="F308" i="3"/>
  <c r="G135" i="3"/>
  <c r="F135" i="3"/>
  <c r="F65" i="3"/>
  <c r="G65" i="3"/>
  <c r="F227" i="3"/>
  <c r="G227" i="3"/>
  <c r="G107" i="3"/>
  <c r="F107" i="3"/>
  <c r="F175" i="3"/>
  <c r="G175" i="3"/>
  <c r="F142" i="3"/>
  <c r="G142" i="3"/>
  <c r="G285" i="3"/>
  <c r="F285" i="3"/>
  <c r="F123" i="3"/>
  <c r="G123" i="3"/>
  <c r="F113" i="3"/>
  <c r="G113" i="3"/>
  <c r="G32" i="3"/>
  <c r="F32" i="3"/>
  <c r="F183" i="3"/>
  <c r="G183" i="3"/>
  <c r="F210" i="3"/>
  <c r="G210" i="3"/>
  <c r="G176" i="3"/>
  <c r="F176" i="3"/>
  <c r="F261" i="3"/>
  <c r="G261" i="3"/>
  <c r="F130" i="3"/>
  <c r="G130" i="3"/>
  <c r="F83" i="3"/>
  <c r="G83" i="3"/>
  <c r="G21" i="3"/>
  <c r="F5" i="1"/>
  <c r="F4" i="1"/>
  <c r="I4" i="1"/>
  <c r="J8" i="1" l="1"/>
  <c r="M8" i="1" s="1"/>
  <c r="H8" i="1"/>
  <c r="L8" i="1" s="1"/>
  <c r="P25" i="3"/>
  <c r="E321" i="3" s="1"/>
  <c r="S25" i="3"/>
  <c r="D372" i="3" s="1"/>
  <c r="J372" i="3" s="1"/>
  <c r="C372" i="3"/>
  <c r="R29" i="3"/>
  <c r="R41" i="3"/>
  <c r="R49" i="3"/>
  <c r="R57" i="3"/>
  <c r="R65" i="3"/>
  <c r="R73" i="3"/>
  <c r="R30" i="3"/>
  <c r="R34" i="3"/>
  <c r="R38" i="3"/>
  <c r="R42" i="3"/>
  <c r="R46" i="3"/>
  <c r="R50" i="3"/>
  <c r="R54" i="3"/>
  <c r="R58" i="3"/>
  <c r="R62" i="3"/>
  <c r="R66" i="3"/>
  <c r="R70" i="3"/>
  <c r="R74" i="3"/>
  <c r="R31" i="3"/>
  <c r="R35" i="3"/>
  <c r="R43" i="3"/>
  <c r="R51" i="3"/>
  <c r="R55" i="3"/>
  <c r="R63" i="3"/>
  <c r="R71" i="3"/>
  <c r="R27" i="3"/>
  <c r="R39" i="3"/>
  <c r="R47" i="3"/>
  <c r="R59" i="3"/>
  <c r="R67" i="3"/>
  <c r="R26" i="3"/>
  <c r="R28" i="3"/>
  <c r="R32" i="3"/>
  <c r="R36" i="3"/>
  <c r="R40" i="3"/>
  <c r="R44" i="3"/>
  <c r="R48" i="3"/>
  <c r="R52" i="3"/>
  <c r="R56" i="3"/>
  <c r="R60" i="3"/>
  <c r="R64" i="3"/>
  <c r="R68" i="3"/>
  <c r="R72" i="3"/>
  <c r="R33" i="3"/>
  <c r="R37" i="3"/>
  <c r="R45" i="3"/>
  <c r="R53" i="3"/>
  <c r="R61" i="3"/>
  <c r="R69" i="3"/>
  <c r="R75" i="3"/>
  <c r="C321" i="3"/>
  <c r="N27" i="3"/>
  <c r="N39" i="3"/>
  <c r="N47" i="3"/>
  <c r="N55" i="3"/>
  <c r="N63" i="3"/>
  <c r="N71" i="3"/>
  <c r="N28" i="3"/>
  <c r="N32" i="3"/>
  <c r="N36" i="3"/>
  <c r="N40" i="3"/>
  <c r="N44" i="3"/>
  <c r="N48" i="3"/>
  <c r="N52" i="3"/>
  <c r="N56" i="3"/>
  <c r="N60" i="3"/>
  <c r="N64" i="3"/>
  <c r="N68" i="3"/>
  <c r="N72" i="3"/>
  <c r="N26" i="3"/>
  <c r="N29" i="3"/>
  <c r="N33" i="3"/>
  <c r="N41" i="3"/>
  <c r="N49" i="3"/>
  <c r="N57" i="3"/>
  <c r="N65" i="3"/>
  <c r="N69" i="3"/>
  <c r="N37" i="3"/>
  <c r="N45" i="3"/>
  <c r="N53" i="3"/>
  <c r="N61" i="3"/>
  <c r="N73" i="3"/>
  <c r="N30" i="3"/>
  <c r="N34" i="3"/>
  <c r="N38" i="3"/>
  <c r="N42" i="3"/>
  <c r="N46" i="3"/>
  <c r="N50" i="3"/>
  <c r="N54" i="3"/>
  <c r="N58" i="3"/>
  <c r="N62" i="3"/>
  <c r="N66" i="3"/>
  <c r="N70" i="3"/>
  <c r="N74" i="3"/>
  <c r="N31" i="3"/>
  <c r="N35" i="3"/>
  <c r="N43" i="3"/>
  <c r="N51" i="3"/>
  <c r="N59" i="3"/>
  <c r="N67" i="3"/>
  <c r="N75" i="3"/>
  <c r="J9" i="1"/>
  <c r="M9" i="1" s="1"/>
  <c r="H9" i="1"/>
  <c r="D8" i="1"/>
  <c r="J4" i="1"/>
  <c r="K4" i="1"/>
  <c r="I321" i="3" l="1"/>
  <c r="N8" i="1"/>
  <c r="C149" i="1"/>
  <c r="C33" i="1"/>
  <c r="C91" i="1"/>
  <c r="C384" i="3"/>
  <c r="T37" i="3"/>
  <c r="E384" i="3" s="1"/>
  <c r="K384" i="3" s="1"/>
  <c r="S37" i="3"/>
  <c r="D384" i="3" s="1"/>
  <c r="J384" i="3" s="1"/>
  <c r="C395" i="3"/>
  <c r="T48" i="3"/>
  <c r="E395" i="3" s="1"/>
  <c r="K395" i="3" s="1"/>
  <c r="S48" i="3"/>
  <c r="D395" i="3" s="1"/>
  <c r="J395" i="3" s="1"/>
  <c r="C406" i="3"/>
  <c r="S59" i="3"/>
  <c r="D406" i="3" s="1"/>
  <c r="J406" i="3" s="1"/>
  <c r="T59" i="3"/>
  <c r="E406" i="3" s="1"/>
  <c r="K406" i="3" s="1"/>
  <c r="C390" i="3"/>
  <c r="S43" i="3"/>
  <c r="D390" i="3" s="1"/>
  <c r="J390" i="3" s="1"/>
  <c r="T43" i="3"/>
  <c r="E390" i="3" s="1"/>
  <c r="K390" i="3" s="1"/>
  <c r="C401" i="3"/>
  <c r="S54" i="3"/>
  <c r="D401" i="3" s="1"/>
  <c r="J401" i="3" s="1"/>
  <c r="T54" i="3"/>
  <c r="E401" i="3" s="1"/>
  <c r="K401" i="3" s="1"/>
  <c r="C412" i="3"/>
  <c r="S65" i="3"/>
  <c r="D412" i="3" s="1"/>
  <c r="J412" i="3" s="1"/>
  <c r="T65" i="3"/>
  <c r="E412" i="3" s="1"/>
  <c r="K412" i="3" s="1"/>
  <c r="C380" i="3"/>
  <c r="S33" i="3"/>
  <c r="D380" i="3" s="1"/>
  <c r="J380" i="3" s="1"/>
  <c r="T33" i="3"/>
  <c r="E380" i="3" s="1"/>
  <c r="K380" i="3" s="1"/>
  <c r="C407" i="3"/>
  <c r="S60" i="3"/>
  <c r="D407" i="3" s="1"/>
  <c r="J407" i="3" s="1"/>
  <c r="T60" i="3"/>
  <c r="E407" i="3" s="1"/>
  <c r="K407" i="3" s="1"/>
  <c r="C375" i="3"/>
  <c r="S28" i="3"/>
  <c r="D375" i="3" s="1"/>
  <c r="J375" i="3" s="1"/>
  <c r="T28" i="3"/>
  <c r="E375" i="3" s="1"/>
  <c r="K375" i="3" s="1"/>
  <c r="C410" i="3"/>
  <c r="S63" i="3"/>
  <c r="D410" i="3" s="1"/>
  <c r="J410" i="3" s="1"/>
  <c r="T63" i="3"/>
  <c r="E410" i="3" s="1"/>
  <c r="K410" i="3" s="1"/>
  <c r="C397" i="3"/>
  <c r="S50" i="3"/>
  <c r="D397" i="3" s="1"/>
  <c r="J397" i="3" s="1"/>
  <c r="T50" i="3"/>
  <c r="E397" i="3" s="1"/>
  <c r="K397" i="3" s="1"/>
  <c r="C400" i="3"/>
  <c r="T53" i="3"/>
  <c r="E400" i="3" s="1"/>
  <c r="K400" i="3" s="1"/>
  <c r="S53" i="3"/>
  <c r="D400" i="3" s="1"/>
  <c r="J400" i="3" s="1"/>
  <c r="C419" i="3"/>
  <c r="S72" i="3"/>
  <c r="D419" i="3" s="1"/>
  <c r="J419" i="3" s="1"/>
  <c r="T72" i="3"/>
  <c r="E419" i="3" s="1"/>
  <c r="K419" i="3" s="1"/>
  <c r="C403" i="3"/>
  <c r="T56" i="3"/>
  <c r="E403" i="3" s="1"/>
  <c r="K403" i="3" s="1"/>
  <c r="S56" i="3"/>
  <c r="D403" i="3" s="1"/>
  <c r="J403" i="3" s="1"/>
  <c r="C387" i="3"/>
  <c r="S40" i="3"/>
  <c r="D387" i="3" s="1"/>
  <c r="J387" i="3" s="1"/>
  <c r="T40" i="3"/>
  <c r="E387" i="3" s="1"/>
  <c r="K387" i="3" s="1"/>
  <c r="C373" i="3"/>
  <c r="S26" i="3"/>
  <c r="D373" i="3" s="1"/>
  <c r="J373" i="3" s="1"/>
  <c r="T26" i="3"/>
  <c r="E373" i="3" s="1"/>
  <c r="K373" i="3" s="1"/>
  <c r="C386" i="3"/>
  <c r="S39" i="3"/>
  <c r="D386" i="3" s="1"/>
  <c r="J386" i="3" s="1"/>
  <c r="T39" i="3"/>
  <c r="E386" i="3" s="1"/>
  <c r="K386" i="3" s="1"/>
  <c r="C402" i="3"/>
  <c r="S55" i="3"/>
  <c r="D402" i="3" s="1"/>
  <c r="J402" i="3" s="1"/>
  <c r="T55" i="3"/>
  <c r="E402" i="3" s="1"/>
  <c r="K402" i="3" s="1"/>
  <c r="C378" i="3"/>
  <c r="S31" i="3"/>
  <c r="D378" i="3" s="1"/>
  <c r="J378" i="3" s="1"/>
  <c r="T31" i="3"/>
  <c r="E378" i="3" s="1"/>
  <c r="K378" i="3" s="1"/>
  <c r="C409" i="3"/>
  <c r="T62" i="3"/>
  <c r="E409" i="3" s="1"/>
  <c r="K409" i="3" s="1"/>
  <c r="S62" i="3"/>
  <c r="D409" i="3" s="1"/>
  <c r="J409" i="3" s="1"/>
  <c r="C393" i="3"/>
  <c r="S46" i="3"/>
  <c r="D393" i="3" s="1"/>
  <c r="J393" i="3" s="1"/>
  <c r="T46" i="3"/>
  <c r="E393" i="3" s="1"/>
  <c r="K393" i="3" s="1"/>
  <c r="C377" i="3"/>
  <c r="T30" i="3"/>
  <c r="E377" i="3" s="1"/>
  <c r="K377" i="3" s="1"/>
  <c r="S30" i="3"/>
  <c r="D377" i="3" s="1"/>
  <c r="J377" i="3" s="1"/>
  <c r="C396" i="3"/>
  <c r="S49" i="3"/>
  <c r="D396" i="3" s="1"/>
  <c r="J396" i="3" s="1"/>
  <c r="T49" i="3"/>
  <c r="E396" i="3" s="1"/>
  <c r="K396" i="3" s="1"/>
  <c r="C416" i="3"/>
  <c r="T69" i="3"/>
  <c r="E416" i="3" s="1"/>
  <c r="K416" i="3" s="1"/>
  <c r="S69" i="3"/>
  <c r="D416" i="3" s="1"/>
  <c r="J416" i="3" s="1"/>
  <c r="C411" i="3"/>
  <c r="T64" i="3"/>
  <c r="E411" i="3" s="1"/>
  <c r="K411" i="3" s="1"/>
  <c r="S64" i="3"/>
  <c r="D411" i="3" s="1"/>
  <c r="J411" i="3" s="1"/>
  <c r="C379" i="3"/>
  <c r="T32" i="3"/>
  <c r="E379" i="3" s="1"/>
  <c r="K379" i="3" s="1"/>
  <c r="S32" i="3"/>
  <c r="D379" i="3" s="1"/>
  <c r="J379" i="3" s="1"/>
  <c r="C418" i="3"/>
  <c r="T71" i="3"/>
  <c r="E418" i="3" s="1"/>
  <c r="K418" i="3" s="1"/>
  <c r="S71" i="3"/>
  <c r="D418" i="3" s="1"/>
  <c r="J418" i="3" s="1"/>
  <c r="C417" i="3"/>
  <c r="S70" i="3"/>
  <c r="D417" i="3" s="1"/>
  <c r="J417" i="3" s="1"/>
  <c r="T70" i="3"/>
  <c r="E417" i="3" s="1"/>
  <c r="K417" i="3" s="1"/>
  <c r="C385" i="3"/>
  <c r="T38" i="3"/>
  <c r="E385" i="3" s="1"/>
  <c r="K385" i="3" s="1"/>
  <c r="S38" i="3"/>
  <c r="D385" i="3" s="1"/>
  <c r="J385" i="3" s="1"/>
  <c r="C376" i="3"/>
  <c r="T29" i="3"/>
  <c r="E376" i="3" s="1"/>
  <c r="K376" i="3" s="1"/>
  <c r="S29" i="3"/>
  <c r="D376" i="3" s="1"/>
  <c r="J376" i="3" s="1"/>
  <c r="C408" i="3"/>
  <c r="T61" i="3"/>
  <c r="E408" i="3" s="1"/>
  <c r="K408" i="3" s="1"/>
  <c r="S61" i="3"/>
  <c r="D408" i="3" s="1"/>
  <c r="J408" i="3" s="1"/>
  <c r="C391" i="3"/>
  <c r="T44" i="3"/>
  <c r="E391" i="3" s="1"/>
  <c r="K391" i="3" s="1"/>
  <c r="S44" i="3"/>
  <c r="D391" i="3" s="1"/>
  <c r="J391" i="3" s="1"/>
  <c r="C394" i="3"/>
  <c r="S47" i="3"/>
  <c r="D394" i="3" s="1"/>
  <c r="J394" i="3" s="1"/>
  <c r="T47" i="3"/>
  <c r="E394" i="3" s="1"/>
  <c r="K394" i="3" s="1"/>
  <c r="C382" i="3"/>
  <c r="T35" i="3"/>
  <c r="E382" i="3" s="1"/>
  <c r="K382" i="3" s="1"/>
  <c r="S35" i="3"/>
  <c r="D382" i="3" s="1"/>
  <c r="J382" i="3" s="1"/>
  <c r="C413" i="3"/>
  <c r="S66" i="3"/>
  <c r="D413" i="3" s="1"/>
  <c r="J413" i="3" s="1"/>
  <c r="T66" i="3"/>
  <c r="E413" i="3" s="1"/>
  <c r="K413" i="3" s="1"/>
  <c r="C381" i="3"/>
  <c r="S34" i="3"/>
  <c r="D381" i="3" s="1"/>
  <c r="J381" i="3" s="1"/>
  <c r="T34" i="3"/>
  <c r="E381" i="3" s="1"/>
  <c r="K381" i="3" s="1"/>
  <c r="C404" i="3"/>
  <c r="S57" i="3"/>
  <c r="D404" i="3" s="1"/>
  <c r="J404" i="3" s="1"/>
  <c r="T57" i="3"/>
  <c r="E404" i="3" s="1"/>
  <c r="K404" i="3" s="1"/>
  <c r="C422" i="3"/>
  <c r="T75" i="3"/>
  <c r="E422" i="3" s="1"/>
  <c r="K422" i="3" s="1"/>
  <c r="S75" i="3"/>
  <c r="D422" i="3" s="1"/>
  <c r="J422" i="3" s="1"/>
  <c r="C392" i="3"/>
  <c r="T45" i="3"/>
  <c r="E392" i="3" s="1"/>
  <c r="K392" i="3" s="1"/>
  <c r="S45" i="3"/>
  <c r="D392" i="3" s="1"/>
  <c r="J392" i="3" s="1"/>
  <c r="C415" i="3"/>
  <c r="S68" i="3"/>
  <c r="D415" i="3" s="1"/>
  <c r="J415" i="3" s="1"/>
  <c r="T68" i="3"/>
  <c r="E415" i="3" s="1"/>
  <c r="K415" i="3" s="1"/>
  <c r="C399" i="3"/>
  <c r="S52" i="3"/>
  <c r="D399" i="3" s="1"/>
  <c r="J399" i="3" s="1"/>
  <c r="T52" i="3"/>
  <c r="E399" i="3" s="1"/>
  <c r="K399" i="3" s="1"/>
  <c r="C383" i="3"/>
  <c r="S36" i="3"/>
  <c r="D383" i="3" s="1"/>
  <c r="J383" i="3" s="1"/>
  <c r="T36" i="3"/>
  <c r="E383" i="3" s="1"/>
  <c r="K383" i="3" s="1"/>
  <c r="C414" i="3"/>
  <c r="T67" i="3"/>
  <c r="E414" i="3" s="1"/>
  <c r="K414" i="3" s="1"/>
  <c r="S67" i="3"/>
  <c r="D414" i="3" s="1"/>
  <c r="J414" i="3" s="1"/>
  <c r="C374" i="3"/>
  <c r="S27" i="3"/>
  <c r="D374" i="3" s="1"/>
  <c r="J374" i="3" s="1"/>
  <c r="T27" i="3"/>
  <c r="E374" i="3" s="1"/>
  <c r="K374" i="3" s="1"/>
  <c r="C398" i="3"/>
  <c r="T51" i="3"/>
  <c r="E398" i="3" s="1"/>
  <c r="K398" i="3" s="1"/>
  <c r="S51" i="3"/>
  <c r="D398" i="3" s="1"/>
  <c r="J398" i="3" s="1"/>
  <c r="C421" i="3"/>
  <c r="T74" i="3"/>
  <c r="E421" i="3" s="1"/>
  <c r="K421" i="3" s="1"/>
  <c r="S74" i="3"/>
  <c r="D421" i="3" s="1"/>
  <c r="J421" i="3" s="1"/>
  <c r="C405" i="3"/>
  <c r="S58" i="3"/>
  <c r="D405" i="3" s="1"/>
  <c r="J405" i="3" s="1"/>
  <c r="T58" i="3"/>
  <c r="E405" i="3" s="1"/>
  <c r="K405" i="3" s="1"/>
  <c r="C389" i="3"/>
  <c r="S42" i="3"/>
  <c r="D389" i="3" s="1"/>
  <c r="J389" i="3" s="1"/>
  <c r="T42" i="3"/>
  <c r="E389" i="3" s="1"/>
  <c r="K389" i="3" s="1"/>
  <c r="C420" i="3"/>
  <c r="S73" i="3"/>
  <c r="D420" i="3" s="1"/>
  <c r="J420" i="3" s="1"/>
  <c r="T73" i="3"/>
  <c r="E420" i="3" s="1"/>
  <c r="K420" i="3" s="1"/>
  <c r="C388" i="3"/>
  <c r="S41" i="3"/>
  <c r="D388" i="3" s="1"/>
  <c r="J388" i="3" s="1"/>
  <c r="T41" i="3"/>
  <c r="E388" i="3" s="1"/>
  <c r="K388" i="3" s="1"/>
  <c r="C355" i="3"/>
  <c r="P59" i="3"/>
  <c r="E355" i="3" s="1"/>
  <c r="O59" i="3"/>
  <c r="D355" i="3" s="1"/>
  <c r="H355" i="3" s="1"/>
  <c r="C327" i="3"/>
  <c r="O31" i="3"/>
  <c r="D327" i="3" s="1"/>
  <c r="H327" i="3" s="1"/>
  <c r="P31" i="3"/>
  <c r="E327" i="3" s="1"/>
  <c r="C358" i="3"/>
  <c r="O62" i="3"/>
  <c r="D358" i="3" s="1"/>
  <c r="H358" i="3" s="1"/>
  <c r="P62" i="3"/>
  <c r="E358" i="3" s="1"/>
  <c r="C342" i="3"/>
  <c r="P46" i="3"/>
  <c r="E342" i="3" s="1"/>
  <c r="O46" i="3"/>
  <c r="D342" i="3" s="1"/>
  <c r="H342" i="3" s="1"/>
  <c r="C326" i="3"/>
  <c r="P30" i="3"/>
  <c r="E326" i="3" s="1"/>
  <c r="O30" i="3"/>
  <c r="D326" i="3" s="1"/>
  <c r="H326" i="3" s="1"/>
  <c r="C341" i="3"/>
  <c r="O45" i="3"/>
  <c r="D341" i="3" s="1"/>
  <c r="H341" i="3" s="1"/>
  <c r="P45" i="3"/>
  <c r="E341" i="3" s="1"/>
  <c r="C353" i="3"/>
  <c r="P57" i="3"/>
  <c r="E353" i="3" s="1"/>
  <c r="O57" i="3"/>
  <c r="D353" i="3" s="1"/>
  <c r="H353" i="3" s="1"/>
  <c r="C325" i="3"/>
  <c r="P29" i="3"/>
  <c r="E325" i="3" s="1"/>
  <c r="O29" i="3"/>
  <c r="D325" i="3" s="1"/>
  <c r="H325" i="3" s="1"/>
  <c r="C360" i="3"/>
  <c r="P64" i="3"/>
  <c r="E360" i="3" s="1"/>
  <c r="O64" i="3"/>
  <c r="D360" i="3" s="1"/>
  <c r="H360" i="3" s="1"/>
  <c r="C344" i="3"/>
  <c r="P48" i="3"/>
  <c r="E344" i="3" s="1"/>
  <c r="O48" i="3"/>
  <c r="D344" i="3" s="1"/>
  <c r="H344" i="3" s="1"/>
  <c r="C328" i="3"/>
  <c r="P32" i="3"/>
  <c r="E328" i="3" s="1"/>
  <c r="O32" i="3"/>
  <c r="D328" i="3" s="1"/>
  <c r="H328" i="3" s="1"/>
  <c r="C351" i="3"/>
  <c r="O55" i="3"/>
  <c r="D351" i="3" s="1"/>
  <c r="H351" i="3" s="1"/>
  <c r="P55" i="3"/>
  <c r="E351" i="3" s="1"/>
  <c r="C347" i="3"/>
  <c r="O51" i="3"/>
  <c r="D347" i="3" s="1"/>
  <c r="H347" i="3" s="1"/>
  <c r="P51" i="3"/>
  <c r="E347" i="3" s="1"/>
  <c r="C370" i="3"/>
  <c r="O74" i="3"/>
  <c r="D370" i="3" s="1"/>
  <c r="H370" i="3" s="1"/>
  <c r="P74" i="3"/>
  <c r="E370" i="3" s="1"/>
  <c r="C354" i="3"/>
  <c r="O58" i="3"/>
  <c r="D354" i="3" s="1"/>
  <c r="H354" i="3" s="1"/>
  <c r="P58" i="3"/>
  <c r="E354" i="3" s="1"/>
  <c r="C338" i="3"/>
  <c r="P42" i="3"/>
  <c r="E338" i="3" s="1"/>
  <c r="O42" i="3"/>
  <c r="D338" i="3" s="1"/>
  <c r="H338" i="3" s="1"/>
  <c r="C369" i="3"/>
  <c r="P73" i="3"/>
  <c r="E369" i="3" s="1"/>
  <c r="O73" i="3"/>
  <c r="D369" i="3" s="1"/>
  <c r="H369" i="3" s="1"/>
  <c r="C333" i="3"/>
  <c r="P37" i="3"/>
  <c r="E333" i="3" s="1"/>
  <c r="O37" i="3"/>
  <c r="D333" i="3" s="1"/>
  <c r="H333" i="3" s="1"/>
  <c r="C345" i="3"/>
  <c r="O49" i="3"/>
  <c r="D345" i="3" s="1"/>
  <c r="H345" i="3" s="1"/>
  <c r="P49" i="3"/>
  <c r="E345" i="3" s="1"/>
  <c r="C322" i="3"/>
  <c r="P26" i="3"/>
  <c r="E322" i="3" s="1"/>
  <c r="O26" i="3"/>
  <c r="D322" i="3" s="1"/>
  <c r="H322" i="3" s="1"/>
  <c r="C356" i="3"/>
  <c r="P60" i="3"/>
  <c r="E356" i="3" s="1"/>
  <c r="O60" i="3"/>
  <c r="D356" i="3" s="1"/>
  <c r="H356" i="3" s="1"/>
  <c r="C340" i="3"/>
  <c r="P44" i="3"/>
  <c r="E340" i="3" s="1"/>
  <c r="O44" i="3"/>
  <c r="D340" i="3" s="1"/>
  <c r="H340" i="3" s="1"/>
  <c r="C324" i="3"/>
  <c r="P28" i="3"/>
  <c r="E324" i="3" s="1"/>
  <c r="O28" i="3"/>
  <c r="D324" i="3" s="1"/>
  <c r="H324" i="3" s="1"/>
  <c r="C343" i="3"/>
  <c r="O47" i="3"/>
  <c r="D343" i="3" s="1"/>
  <c r="H343" i="3" s="1"/>
  <c r="P47" i="3"/>
  <c r="E343" i="3" s="1"/>
  <c r="C371" i="3"/>
  <c r="P75" i="3"/>
  <c r="E371" i="3" s="1"/>
  <c r="O75" i="3"/>
  <c r="D371" i="3" s="1"/>
  <c r="H371" i="3" s="1"/>
  <c r="C339" i="3"/>
  <c r="P43" i="3"/>
  <c r="E339" i="3" s="1"/>
  <c r="O43" i="3"/>
  <c r="D339" i="3" s="1"/>
  <c r="H339" i="3" s="1"/>
  <c r="C366" i="3"/>
  <c r="O70" i="3"/>
  <c r="D366" i="3" s="1"/>
  <c r="H366" i="3" s="1"/>
  <c r="P70" i="3"/>
  <c r="E366" i="3" s="1"/>
  <c r="C350" i="3"/>
  <c r="O54" i="3"/>
  <c r="D350" i="3" s="1"/>
  <c r="H350" i="3" s="1"/>
  <c r="P54" i="3"/>
  <c r="E350" i="3" s="1"/>
  <c r="C334" i="3"/>
  <c r="P38" i="3"/>
  <c r="E334" i="3" s="1"/>
  <c r="O38" i="3"/>
  <c r="D334" i="3" s="1"/>
  <c r="H334" i="3" s="1"/>
  <c r="C357" i="3"/>
  <c r="O61" i="3"/>
  <c r="D357" i="3" s="1"/>
  <c r="H357" i="3" s="1"/>
  <c r="P61" i="3"/>
  <c r="E357" i="3" s="1"/>
  <c r="C365" i="3"/>
  <c r="P69" i="3"/>
  <c r="E365" i="3" s="1"/>
  <c r="O69" i="3"/>
  <c r="D365" i="3" s="1"/>
  <c r="H365" i="3" s="1"/>
  <c r="C337" i="3"/>
  <c r="P41" i="3"/>
  <c r="E337" i="3" s="1"/>
  <c r="O41" i="3"/>
  <c r="D337" i="3" s="1"/>
  <c r="H337" i="3" s="1"/>
  <c r="C368" i="3"/>
  <c r="O72" i="3"/>
  <c r="D368" i="3" s="1"/>
  <c r="H368" i="3" s="1"/>
  <c r="P72" i="3"/>
  <c r="E368" i="3" s="1"/>
  <c r="C352" i="3"/>
  <c r="P56" i="3"/>
  <c r="E352" i="3" s="1"/>
  <c r="O56" i="3"/>
  <c r="D352" i="3" s="1"/>
  <c r="H352" i="3" s="1"/>
  <c r="C336" i="3"/>
  <c r="O40" i="3"/>
  <c r="D336" i="3" s="1"/>
  <c r="H336" i="3" s="1"/>
  <c r="P40" i="3"/>
  <c r="E336" i="3" s="1"/>
  <c r="C367" i="3"/>
  <c r="P71" i="3"/>
  <c r="E367" i="3" s="1"/>
  <c r="O71" i="3"/>
  <c r="D367" i="3" s="1"/>
  <c r="H367" i="3" s="1"/>
  <c r="C335" i="3"/>
  <c r="O39" i="3"/>
  <c r="D335" i="3" s="1"/>
  <c r="H335" i="3" s="1"/>
  <c r="P39" i="3"/>
  <c r="E335" i="3" s="1"/>
  <c r="C363" i="3"/>
  <c r="P67" i="3"/>
  <c r="E363" i="3" s="1"/>
  <c r="O67" i="3"/>
  <c r="D363" i="3" s="1"/>
  <c r="H363" i="3" s="1"/>
  <c r="C331" i="3"/>
  <c r="O35" i="3"/>
  <c r="D331" i="3" s="1"/>
  <c r="H331" i="3" s="1"/>
  <c r="P35" i="3"/>
  <c r="E331" i="3" s="1"/>
  <c r="C362" i="3"/>
  <c r="P66" i="3"/>
  <c r="E362" i="3" s="1"/>
  <c r="O66" i="3"/>
  <c r="D362" i="3" s="1"/>
  <c r="H362" i="3" s="1"/>
  <c r="C346" i="3"/>
  <c r="P50" i="3"/>
  <c r="E346" i="3" s="1"/>
  <c r="O50" i="3"/>
  <c r="D346" i="3" s="1"/>
  <c r="H346" i="3" s="1"/>
  <c r="C330" i="3"/>
  <c r="P34" i="3"/>
  <c r="E330" i="3" s="1"/>
  <c r="O34" i="3"/>
  <c r="D330" i="3" s="1"/>
  <c r="H330" i="3" s="1"/>
  <c r="C349" i="3"/>
  <c r="P53" i="3"/>
  <c r="E349" i="3" s="1"/>
  <c r="O53" i="3"/>
  <c r="D349" i="3" s="1"/>
  <c r="H349" i="3" s="1"/>
  <c r="C361" i="3"/>
  <c r="O65" i="3"/>
  <c r="D361" i="3" s="1"/>
  <c r="H361" i="3" s="1"/>
  <c r="P65" i="3"/>
  <c r="E361" i="3" s="1"/>
  <c r="C329" i="3"/>
  <c r="P33" i="3"/>
  <c r="E329" i="3" s="1"/>
  <c r="O33" i="3"/>
  <c r="D329" i="3" s="1"/>
  <c r="H329" i="3" s="1"/>
  <c r="C364" i="3"/>
  <c r="P68" i="3"/>
  <c r="E364" i="3" s="1"/>
  <c r="O68" i="3"/>
  <c r="D364" i="3" s="1"/>
  <c r="H364" i="3" s="1"/>
  <c r="C348" i="3"/>
  <c r="P52" i="3"/>
  <c r="E348" i="3" s="1"/>
  <c r="O52" i="3"/>
  <c r="D348" i="3" s="1"/>
  <c r="H348" i="3" s="1"/>
  <c r="C332" i="3"/>
  <c r="P36" i="3"/>
  <c r="E332" i="3" s="1"/>
  <c r="O36" i="3"/>
  <c r="D332" i="3" s="1"/>
  <c r="H332" i="3" s="1"/>
  <c r="C359" i="3"/>
  <c r="P63" i="3"/>
  <c r="E359" i="3" s="1"/>
  <c r="O63" i="3"/>
  <c r="D359" i="3" s="1"/>
  <c r="H359" i="3" s="1"/>
  <c r="C323" i="3"/>
  <c r="P27" i="3"/>
  <c r="E323" i="3" s="1"/>
  <c r="O27" i="3"/>
  <c r="D323" i="3" s="1"/>
  <c r="H323" i="3" s="1"/>
  <c r="B150" i="1"/>
  <c r="B34" i="1"/>
  <c r="L9" i="1"/>
  <c r="B92" i="1" s="1"/>
  <c r="C34" i="1"/>
  <c r="I349" i="3" l="1"/>
  <c r="I365" i="3"/>
  <c r="I324" i="3"/>
  <c r="I361" i="3"/>
  <c r="I328" i="3"/>
  <c r="I362" i="3"/>
  <c r="I335" i="3"/>
  <c r="I367" i="3"/>
  <c r="I368" i="3"/>
  <c r="I337" i="3"/>
  <c r="I322" i="3"/>
  <c r="I338" i="3"/>
  <c r="I347" i="3"/>
  <c r="I325" i="3"/>
  <c r="I342" i="3"/>
  <c r="I348" i="3"/>
  <c r="I353" i="3"/>
  <c r="I329" i="3"/>
  <c r="I346" i="3"/>
  <c r="I357" i="3"/>
  <c r="I334" i="3"/>
  <c r="I371" i="3"/>
  <c r="I356" i="3"/>
  <c r="I369" i="3"/>
  <c r="I370" i="3"/>
  <c r="I360" i="3"/>
  <c r="I341" i="3"/>
  <c r="I326" i="3"/>
  <c r="I327" i="3"/>
  <c r="I355" i="3"/>
  <c r="I350" i="3"/>
  <c r="I343" i="3"/>
  <c r="I351" i="3"/>
  <c r="I332" i="3"/>
  <c r="I359" i="3"/>
  <c r="I323" i="3"/>
  <c r="I364" i="3"/>
  <c r="I330" i="3"/>
  <c r="I331" i="3"/>
  <c r="I363" i="3"/>
  <c r="I336" i="3"/>
  <c r="I352" i="3"/>
  <c r="I366" i="3"/>
  <c r="I339" i="3"/>
  <c r="I340" i="3"/>
  <c r="I345" i="3"/>
  <c r="I333" i="3"/>
  <c r="I354" i="3"/>
  <c r="I344" i="3"/>
  <c r="I358" i="3"/>
  <c r="AV149" i="1"/>
  <c r="AF149" i="1"/>
  <c r="P149" i="1"/>
  <c r="BA91" i="1"/>
  <c r="AK91" i="1"/>
  <c r="U91" i="1"/>
  <c r="U92" i="1" s="1"/>
  <c r="E91" i="1"/>
  <c r="Q33" i="1"/>
  <c r="Q34" i="1" s="1"/>
  <c r="AG33" i="1"/>
  <c r="AG34" i="1" s="1"/>
  <c r="AW33" i="1"/>
  <c r="AW34" i="1" s="1"/>
  <c r="AQ149" i="1"/>
  <c r="AA149" i="1"/>
  <c r="K149" i="1"/>
  <c r="AR91" i="1"/>
  <c r="AR92" i="1" s="1"/>
  <c r="AB91" i="1"/>
  <c r="L91" i="1"/>
  <c r="J33" i="1"/>
  <c r="J34" i="1" s="1"/>
  <c r="Z33" i="1"/>
  <c r="Z34" i="1" s="1"/>
  <c r="AP33" i="1"/>
  <c r="AP34" i="1" s="1"/>
  <c r="AX149" i="1"/>
  <c r="AH149" i="1"/>
  <c r="R149" i="1"/>
  <c r="AY91" i="1"/>
  <c r="AI91" i="1"/>
  <c r="S91" i="1"/>
  <c r="G33" i="1"/>
  <c r="G34" i="1" s="1"/>
  <c r="W33" i="1"/>
  <c r="AM33" i="1"/>
  <c r="AM34" i="1" s="1"/>
  <c r="BA149" i="1"/>
  <c r="AK149" i="1"/>
  <c r="U149" i="1"/>
  <c r="E149" i="1"/>
  <c r="AL91" i="1"/>
  <c r="V91" i="1"/>
  <c r="V92" i="1" s="1"/>
  <c r="F91" i="1"/>
  <c r="T33" i="1"/>
  <c r="T34" i="1" s="1"/>
  <c r="AJ33" i="1"/>
  <c r="AJ34" i="1" s="1"/>
  <c r="AZ33" i="1"/>
  <c r="AZ34" i="1" s="1"/>
  <c r="Q149" i="1"/>
  <c r="AH91" i="1"/>
  <c r="R91" i="1"/>
  <c r="X33" i="1"/>
  <c r="X34" i="1" s="1"/>
  <c r="AN33" i="1"/>
  <c r="AR33" i="1"/>
  <c r="AR34" i="1" s="1"/>
  <c r="Y149" i="1"/>
  <c r="AP91" i="1"/>
  <c r="AF33" i="1"/>
  <c r="AF34" i="1" s="1"/>
  <c r="AR149" i="1"/>
  <c r="AB149" i="1"/>
  <c r="L149" i="1"/>
  <c r="AW91" i="1"/>
  <c r="AG91" i="1"/>
  <c r="Q91" i="1"/>
  <c r="E33" i="1"/>
  <c r="E34" i="1" s="1"/>
  <c r="U33" i="1"/>
  <c r="U34" i="1" s="1"/>
  <c r="AK33" i="1"/>
  <c r="AK34" i="1" s="1"/>
  <c r="BA33" i="1"/>
  <c r="BA34" i="1" s="1"/>
  <c r="AM149" i="1"/>
  <c r="W149" i="1"/>
  <c r="G149" i="1"/>
  <c r="AN91" i="1"/>
  <c r="X91" i="1"/>
  <c r="X92" i="1" s="1"/>
  <c r="X150" i="1" s="1"/>
  <c r="H91" i="1"/>
  <c r="N33" i="1"/>
  <c r="N34" i="1" s="1"/>
  <c r="AD33" i="1"/>
  <c r="AD34" i="1" s="1"/>
  <c r="AT33" i="1"/>
  <c r="AT34" i="1" s="1"/>
  <c r="AT149" i="1"/>
  <c r="AD149" i="1"/>
  <c r="N149" i="1"/>
  <c r="AU91" i="1"/>
  <c r="AU92" i="1" s="1"/>
  <c r="AE91" i="1"/>
  <c r="O91" i="1"/>
  <c r="K33" i="1"/>
  <c r="AA33" i="1"/>
  <c r="AA34" i="1" s="1"/>
  <c r="AQ33" i="1"/>
  <c r="AQ34" i="1" s="1"/>
  <c r="AW149" i="1"/>
  <c r="AG149" i="1"/>
  <c r="AX91" i="1"/>
  <c r="AX92" i="1" s="1"/>
  <c r="H33" i="1"/>
  <c r="H34" i="1" s="1"/>
  <c r="AB33" i="1"/>
  <c r="AB34" i="1" s="1"/>
  <c r="I149" i="1"/>
  <c r="P33" i="1"/>
  <c r="P34" i="1" s="1"/>
  <c r="AN149" i="1"/>
  <c r="X149" i="1"/>
  <c r="H149" i="1"/>
  <c r="AS91" i="1"/>
  <c r="AS92" i="1" s="1"/>
  <c r="AC91" i="1"/>
  <c r="M91" i="1"/>
  <c r="I33" i="1"/>
  <c r="I34" i="1" s="1"/>
  <c r="Y33" i="1"/>
  <c r="Y34" i="1" s="1"/>
  <c r="AO33" i="1"/>
  <c r="AO34" i="1" s="1"/>
  <c r="AY149" i="1"/>
  <c r="AI149" i="1"/>
  <c r="S149" i="1"/>
  <c r="AZ91" i="1"/>
  <c r="AJ91" i="1"/>
  <c r="T91" i="1"/>
  <c r="D91" i="1"/>
  <c r="D92" i="1" s="1"/>
  <c r="R33" i="1"/>
  <c r="R34" i="1" s="1"/>
  <c r="AH33" i="1"/>
  <c r="AH34" i="1" s="1"/>
  <c r="AX33" i="1"/>
  <c r="AX34" i="1" s="1"/>
  <c r="AP149" i="1"/>
  <c r="Z149" i="1"/>
  <c r="J149" i="1"/>
  <c r="AQ91" i="1"/>
  <c r="AA91" i="1"/>
  <c r="K91" i="1"/>
  <c r="O33" i="1"/>
  <c r="O34" i="1" s="1"/>
  <c r="AE33" i="1"/>
  <c r="AE34" i="1" s="1"/>
  <c r="AU33" i="1"/>
  <c r="AU34" i="1" s="1"/>
  <c r="AS149" i="1"/>
  <c r="AC149" i="1"/>
  <c r="M149" i="1"/>
  <c r="AT91" i="1"/>
  <c r="AT92" i="1" s="1"/>
  <c r="AT150" i="1" s="1"/>
  <c r="AD91" i="1"/>
  <c r="N91" i="1"/>
  <c r="L33" i="1"/>
  <c r="L34" i="1" s="1"/>
  <c r="AY33" i="1"/>
  <c r="AY34" i="1" s="1"/>
  <c r="Z91" i="1"/>
  <c r="AV33" i="1"/>
  <c r="AV34" i="1" s="1"/>
  <c r="AZ149" i="1"/>
  <c r="AJ149" i="1"/>
  <c r="T149" i="1"/>
  <c r="D149" i="1"/>
  <c r="AO91" i="1"/>
  <c r="AO92" i="1" s="1"/>
  <c r="Y91" i="1"/>
  <c r="Y92" i="1" s="1"/>
  <c r="Y150" i="1" s="1"/>
  <c r="I91" i="1"/>
  <c r="M33" i="1"/>
  <c r="M34" i="1" s="1"/>
  <c r="AC33" i="1"/>
  <c r="AC34" i="1" s="1"/>
  <c r="AS33" i="1"/>
  <c r="AS34" i="1" s="1"/>
  <c r="AU149" i="1"/>
  <c r="AE149" i="1"/>
  <c r="O149" i="1"/>
  <c r="AV91" i="1"/>
  <c r="AV92" i="1" s="1"/>
  <c r="AV150" i="1" s="1"/>
  <c r="AF91" i="1"/>
  <c r="P91" i="1"/>
  <c r="P92" i="1" s="1"/>
  <c r="F33" i="1"/>
  <c r="F34" i="1" s="1"/>
  <c r="V33" i="1"/>
  <c r="V34" i="1" s="1"/>
  <c r="AL33" i="1"/>
  <c r="AL34" i="1" s="1"/>
  <c r="D33" i="1"/>
  <c r="D34" i="1" s="1"/>
  <c r="AL149" i="1"/>
  <c r="V149" i="1"/>
  <c r="F149" i="1"/>
  <c r="AM91" i="1"/>
  <c r="AM92" i="1" s="1"/>
  <c r="AM150" i="1" s="1"/>
  <c r="W91" i="1"/>
  <c r="W92" i="1" s="1"/>
  <c r="G91" i="1"/>
  <c r="G92" i="1" s="1"/>
  <c r="G150" i="1" s="1"/>
  <c r="S33" i="1"/>
  <c r="S34" i="1" s="1"/>
  <c r="AI33" i="1"/>
  <c r="AI34" i="1" s="1"/>
  <c r="AO149" i="1"/>
  <c r="J91" i="1"/>
  <c r="J92" i="1" s="1"/>
  <c r="J150" i="1" s="1"/>
  <c r="W34" i="1"/>
  <c r="AN34" i="1"/>
  <c r="K34" i="1"/>
  <c r="N9" i="1"/>
  <c r="B200" i="1" s="1"/>
  <c r="K92" i="1"/>
  <c r="AI92" i="1"/>
  <c r="AB92" i="1"/>
  <c r="AB150" i="1" s="1"/>
  <c r="R92" i="1"/>
  <c r="R150" i="1" s="1"/>
  <c r="AL92" i="1"/>
  <c r="AL150" i="1" s="1"/>
  <c r="H92" i="1"/>
  <c r="H150" i="1" s="1"/>
  <c r="C92" i="1"/>
  <c r="C150" i="1" s="1"/>
  <c r="S92" i="1"/>
  <c r="E92" i="1"/>
  <c r="AW92" i="1"/>
  <c r="AP92" i="1"/>
  <c r="AP150" i="1" s="1"/>
  <c r="AZ92" i="1"/>
  <c r="AF92" i="1"/>
  <c r="AF150" i="1" s="1"/>
  <c r="I92" i="1"/>
  <c r="I150" i="1" s="1"/>
  <c r="AG92" i="1"/>
  <c r="AG150" i="1" s="1"/>
  <c r="BA92" i="1"/>
  <c r="BA150" i="1" s="1"/>
  <c r="F92" i="1"/>
  <c r="Z92" i="1"/>
  <c r="AE92" i="1"/>
  <c r="AE150" i="1" s="1"/>
  <c r="AY92" i="1"/>
  <c r="AN92" i="1"/>
  <c r="Q92" i="1"/>
  <c r="Q150" i="1" s="1"/>
  <c r="AK92" i="1"/>
  <c r="AK150" i="1" s="1"/>
  <c r="L92" i="1"/>
  <c r="AH92" i="1"/>
  <c r="AH150" i="1" s="1"/>
  <c r="AA92" i="1"/>
  <c r="AA150" i="1" s="1"/>
  <c r="AJ92" i="1"/>
  <c r="O92" i="1"/>
  <c r="O150" i="1" s="1"/>
  <c r="T92" i="1"/>
  <c r="T150" i="1" s="1"/>
  <c r="N92" i="1"/>
  <c r="N150" i="1" s="1"/>
  <c r="AQ92" i="1"/>
  <c r="AQ150" i="1" s="1"/>
  <c r="M92" i="1"/>
  <c r="M150" i="1" s="1"/>
  <c r="AD92" i="1"/>
  <c r="AD150" i="1" s="1"/>
  <c r="AC92" i="1"/>
  <c r="B106" i="1"/>
  <c r="B152" i="1"/>
  <c r="B168" i="1"/>
  <c r="B184" i="1"/>
  <c r="B133" i="1"/>
  <c r="B183" i="1"/>
  <c r="B178" i="1"/>
  <c r="B69" i="1"/>
  <c r="B198" i="1"/>
  <c r="B54" i="1"/>
  <c r="B182" i="1"/>
  <c r="B61" i="1"/>
  <c r="B98" i="1"/>
  <c r="B124" i="1"/>
  <c r="B120" i="1"/>
  <c r="B36" i="1"/>
  <c r="B161" i="1"/>
  <c r="B179" i="1"/>
  <c r="B93" i="1"/>
  <c r="B81" i="1"/>
  <c r="B48" i="1"/>
  <c r="B109" i="1"/>
  <c r="B38" i="1"/>
  <c r="B65" i="1"/>
  <c r="B116" i="1"/>
  <c r="B79" i="1"/>
  <c r="B186" i="1"/>
  <c r="B131" i="1"/>
  <c r="B177" i="1"/>
  <c r="B43" i="1"/>
  <c r="B62" i="1"/>
  <c r="B130" i="1"/>
  <c r="B199" i="1"/>
  <c r="B176" i="1"/>
  <c r="B71" i="1"/>
  <c r="B121" i="1"/>
  <c r="B102" i="1"/>
  <c r="B171" i="1"/>
  <c r="B53" i="1"/>
  <c r="B52" i="1"/>
  <c r="B82" i="1"/>
  <c r="B45" i="1"/>
  <c r="B156" i="1"/>
  <c r="B159" i="1"/>
  <c r="B94" i="1"/>
  <c r="B57" i="1"/>
  <c r="B189" i="1"/>
  <c r="B129" i="1"/>
  <c r="B165" i="1"/>
  <c r="B142" i="1"/>
  <c r="B63" i="1"/>
  <c r="B166" i="1"/>
  <c r="B111" i="1"/>
  <c r="B96" i="1"/>
  <c r="B141" i="1"/>
  <c r="B122" i="1"/>
  <c r="B95" i="1"/>
  <c r="B60" i="1"/>
  <c r="B132" i="1"/>
  <c r="B47" i="1"/>
  <c r="B66" i="1"/>
  <c r="B195" i="1"/>
  <c r="B172" i="1"/>
  <c r="B193" i="1"/>
  <c r="B101" i="1"/>
  <c r="B174" i="1"/>
  <c r="B46" i="1"/>
  <c r="B151" i="1"/>
  <c r="B73" i="1"/>
  <c r="B119" i="1"/>
  <c r="B192" i="1"/>
  <c r="B55" i="1"/>
  <c r="B137" i="1"/>
  <c r="B74" i="1"/>
  <c r="B118" i="1"/>
  <c r="B187" i="1"/>
  <c r="B37" i="1"/>
  <c r="B164" i="1"/>
  <c r="B77" i="1"/>
  <c r="B49" i="1"/>
  <c r="B80" i="1"/>
  <c r="B83" i="1"/>
  <c r="B127" i="1"/>
  <c r="B113" i="1"/>
  <c r="B188" i="1"/>
  <c r="B167" i="1"/>
  <c r="B112" i="1"/>
  <c r="B157" i="1"/>
  <c r="B190" i="1"/>
  <c r="B135" i="1"/>
  <c r="B58" i="1"/>
  <c r="B180" i="1"/>
  <c r="B39" i="1"/>
  <c r="B181" i="1"/>
  <c r="B134" i="1"/>
  <c r="B35" i="1"/>
  <c r="B162" i="1"/>
  <c r="B107" i="1"/>
  <c r="AJ150" i="1"/>
  <c r="B110" i="1" l="1"/>
  <c r="B197" i="1"/>
  <c r="B154" i="1"/>
  <c r="B84" i="1"/>
  <c r="B70" i="1"/>
  <c r="AC150" i="1"/>
  <c r="S150" i="1"/>
  <c r="AX150" i="1"/>
  <c r="L150" i="1"/>
  <c r="B125" i="1"/>
  <c r="B155" i="1"/>
  <c r="B41" i="1"/>
  <c r="B59" i="1"/>
  <c r="B173" i="1"/>
  <c r="B128" i="1"/>
  <c r="B175" i="1"/>
  <c r="P150" i="1"/>
  <c r="B169" i="1"/>
  <c r="B104" i="1"/>
  <c r="B97" i="1"/>
  <c r="B117" i="1"/>
  <c r="B136" i="1"/>
  <c r="B139" i="1"/>
  <c r="B194" i="1"/>
  <c r="B103" i="1"/>
  <c r="B158" i="1"/>
  <c r="B163" i="1"/>
  <c r="B76" i="1"/>
  <c r="B153" i="1"/>
  <c r="B56" i="1"/>
  <c r="B140" i="1"/>
  <c r="B75" i="1"/>
  <c r="B170" i="1"/>
  <c r="B123" i="1"/>
  <c r="B105" i="1"/>
  <c r="B114" i="1"/>
  <c r="B126" i="1"/>
  <c r="B191" i="1"/>
  <c r="B185" i="1"/>
  <c r="B67" i="1"/>
  <c r="D150" i="1"/>
  <c r="AS150" i="1"/>
  <c r="AU150" i="1"/>
  <c r="V150" i="1"/>
  <c r="AR150" i="1"/>
  <c r="U150" i="1"/>
  <c r="B44" i="1"/>
  <c r="B68" i="1"/>
  <c r="B196" i="1"/>
  <c r="B42" i="1"/>
  <c r="B160" i="1"/>
  <c r="B78" i="1"/>
  <c r="B99" i="1"/>
  <c r="B100" i="1"/>
  <c r="B51" i="1"/>
  <c r="B138" i="1"/>
  <c r="B108" i="1"/>
  <c r="B40" i="1"/>
  <c r="AO150" i="1"/>
  <c r="B64" i="1"/>
  <c r="B115" i="1"/>
  <c r="B50" i="1"/>
  <c r="B72" i="1"/>
  <c r="E150" i="1"/>
  <c r="Z150" i="1"/>
  <c r="AZ150" i="1"/>
  <c r="AW150" i="1"/>
  <c r="F150" i="1"/>
  <c r="W150" i="1"/>
  <c r="AI150" i="1"/>
  <c r="AY150" i="1"/>
  <c r="AN150" i="1"/>
  <c r="K150" i="1"/>
  <c r="AW107" i="1"/>
  <c r="E107" i="1"/>
  <c r="R107" i="1"/>
  <c r="Y107" i="1"/>
  <c r="AL107" i="1"/>
  <c r="J107" i="1"/>
  <c r="T107" i="1"/>
  <c r="AZ107" i="1"/>
  <c r="AV107" i="1"/>
  <c r="L107" i="1"/>
  <c r="AJ107" i="1"/>
  <c r="AE107" i="1"/>
  <c r="AM107" i="1"/>
  <c r="N107" i="1"/>
  <c r="U107" i="1"/>
  <c r="AH107" i="1"/>
  <c r="AO107" i="1"/>
  <c r="M107" i="1"/>
  <c r="Z107" i="1"/>
  <c r="AN107" i="1"/>
  <c r="AU107" i="1"/>
  <c r="AI107" i="1"/>
  <c r="AB107" i="1"/>
  <c r="AA107" i="1"/>
  <c r="C107" i="1"/>
  <c r="Q107" i="1"/>
  <c r="AD107" i="1"/>
  <c r="AK107" i="1"/>
  <c r="AX107" i="1"/>
  <c r="F107" i="1"/>
  <c r="AC107" i="1"/>
  <c r="AP107" i="1"/>
  <c r="S107" i="1"/>
  <c r="H107" i="1"/>
  <c r="W107" i="1"/>
  <c r="O107" i="1"/>
  <c r="P107" i="1"/>
  <c r="AY107" i="1"/>
  <c r="AG107" i="1"/>
  <c r="AT107" i="1"/>
  <c r="BA107" i="1"/>
  <c r="I107" i="1"/>
  <c r="V107" i="1"/>
  <c r="AS107" i="1"/>
  <c r="D107" i="1"/>
  <c r="G107" i="1"/>
  <c r="X107" i="1"/>
  <c r="K107" i="1"/>
  <c r="AQ107" i="1"/>
  <c r="AF107" i="1"/>
  <c r="AR107" i="1"/>
  <c r="AJ135" i="1"/>
  <c r="Q135" i="1"/>
  <c r="H135" i="1"/>
  <c r="AP135" i="1"/>
  <c r="AS135" i="1"/>
  <c r="AR135" i="1"/>
  <c r="F135" i="1"/>
  <c r="AC135" i="1"/>
  <c r="AV135" i="1"/>
  <c r="K135" i="1"/>
  <c r="I135" i="1"/>
  <c r="Y135" i="1"/>
  <c r="AY135" i="1"/>
  <c r="AZ135" i="1"/>
  <c r="AL135" i="1"/>
  <c r="X135" i="1"/>
  <c r="V135" i="1"/>
  <c r="S135" i="1"/>
  <c r="E135" i="1"/>
  <c r="AA135" i="1"/>
  <c r="AX135" i="1"/>
  <c r="J135" i="1"/>
  <c r="AG135" i="1"/>
  <c r="AI135" i="1"/>
  <c r="AT135" i="1"/>
  <c r="D135" i="1"/>
  <c r="O135" i="1"/>
  <c r="R135" i="1"/>
  <c r="AN135" i="1"/>
  <c r="AQ135" i="1"/>
  <c r="L135" i="1"/>
  <c r="Z135" i="1"/>
  <c r="AW135" i="1"/>
  <c r="P135" i="1"/>
  <c r="AE135" i="1"/>
  <c r="M135" i="1"/>
  <c r="N135" i="1"/>
  <c r="C135" i="1"/>
  <c r="T135" i="1"/>
  <c r="AK135" i="1"/>
  <c r="AM135" i="1"/>
  <c r="U135" i="1"/>
  <c r="W135" i="1"/>
  <c r="AB135" i="1"/>
  <c r="AU135" i="1"/>
  <c r="G135" i="1"/>
  <c r="AF135" i="1"/>
  <c r="BA135" i="1"/>
  <c r="AH135" i="1"/>
  <c r="AO135" i="1"/>
  <c r="AD135" i="1"/>
  <c r="D83" i="1"/>
  <c r="R83" i="1"/>
  <c r="Y83" i="1"/>
  <c r="BA83" i="1"/>
  <c r="AB83" i="1"/>
  <c r="M83" i="1"/>
  <c r="L83" i="1"/>
  <c r="AM83" i="1"/>
  <c r="T83" i="1"/>
  <c r="AO83" i="1"/>
  <c r="E83" i="1"/>
  <c r="AW83" i="1"/>
  <c r="Q83" i="1"/>
  <c r="W83" i="1"/>
  <c r="AV83" i="1"/>
  <c r="AC83" i="1"/>
  <c r="AF83" i="1"/>
  <c r="AR83" i="1"/>
  <c r="AK83" i="1"/>
  <c r="AJ83" i="1"/>
  <c r="AG83" i="1"/>
  <c r="P83" i="1"/>
  <c r="AS83" i="1"/>
  <c r="AZ83" i="1"/>
  <c r="I83" i="1"/>
  <c r="G83" i="1"/>
  <c r="U83" i="1"/>
  <c r="AL83" i="1"/>
  <c r="AP83" i="1"/>
  <c r="AT83" i="1"/>
  <c r="AI83" i="1"/>
  <c r="H83" i="1"/>
  <c r="AE83" i="1"/>
  <c r="AA83" i="1"/>
  <c r="AH83" i="1"/>
  <c r="S83" i="1"/>
  <c r="O83" i="1"/>
  <c r="K83" i="1"/>
  <c r="F83" i="1"/>
  <c r="J83" i="1"/>
  <c r="N83" i="1"/>
  <c r="C83" i="1"/>
  <c r="AN83" i="1"/>
  <c r="AX83" i="1"/>
  <c r="V83" i="1"/>
  <c r="Z83" i="1"/>
  <c r="AD83" i="1"/>
  <c r="AY83" i="1"/>
  <c r="X83" i="1"/>
  <c r="AU83" i="1"/>
  <c r="AQ83" i="1"/>
  <c r="AL74" i="1"/>
  <c r="K74" i="1"/>
  <c r="X74" i="1"/>
  <c r="BA74" i="1"/>
  <c r="AB74" i="1"/>
  <c r="AF74" i="1"/>
  <c r="I74" i="1"/>
  <c r="AT74" i="1"/>
  <c r="J74" i="1"/>
  <c r="U74" i="1"/>
  <c r="D74" i="1"/>
  <c r="AW74" i="1"/>
  <c r="AD74" i="1"/>
  <c r="H74" i="1"/>
  <c r="AK74" i="1"/>
  <c r="L74" i="1"/>
  <c r="AR74" i="1"/>
  <c r="T74" i="1"/>
  <c r="M74" i="1"/>
  <c r="O74" i="1"/>
  <c r="AJ74" i="1"/>
  <c r="C74" i="1"/>
  <c r="G74" i="1"/>
  <c r="V74" i="1"/>
  <c r="E74" i="1"/>
  <c r="AC74" i="1"/>
  <c r="AG74" i="1"/>
  <c r="AE74" i="1"/>
  <c r="Q74" i="1"/>
  <c r="S74" i="1"/>
  <c r="W74" i="1"/>
  <c r="AH74" i="1"/>
  <c r="AA74" i="1"/>
  <c r="AX74" i="1"/>
  <c r="AI74" i="1"/>
  <c r="P74" i="1"/>
  <c r="AU74" i="1"/>
  <c r="AO74" i="1"/>
  <c r="Y74" i="1"/>
  <c r="AM74" i="1"/>
  <c r="AZ74" i="1"/>
  <c r="AS74" i="1"/>
  <c r="AQ74" i="1"/>
  <c r="AY74" i="1"/>
  <c r="AN74" i="1"/>
  <c r="AV74" i="1"/>
  <c r="R74" i="1"/>
  <c r="N74" i="1"/>
  <c r="AP74" i="1"/>
  <c r="F74" i="1"/>
  <c r="Z74" i="1"/>
  <c r="J119" i="1"/>
  <c r="AM119" i="1"/>
  <c r="N119" i="1"/>
  <c r="AR119" i="1"/>
  <c r="R119" i="1"/>
  <c r="AB119" i="1"/>
  <c r="AS119" i="1"/>
  <c r="AL119" i="1"/>
  <c r="AC119" i="1"/>
  <c r="U119" i="1"/>
  <c r="AF119" i="1"/>
  <c r="Y119" i="1"/>
  <c r="AJ119" i="1"/>
  <c r="Z119" i="1"/>
  <c r="M119" i="1"/>
  <c r="AD119" i="1"/>
  <c r="S119" i="1"/>
  <c r="AH119" i="1"/>
  <c r="AW119" i="1"/>
  <c r="AO119" i="1"/>
  <c r="L119" i="1"/>
  <c r="AY119" i="1"/>
  <c r="D119" i="1"/>
  <c r="O119" i="1"/>
  <c r="AK119" i="1"/>
  <c r="E119" i="1"/>
  <c r="AP119" i="1"/>
  <c r="AI119" i="1"/>
  <c r="AT119" i="1"/>
  <c r="AN119" i="1"/>
  <c r="AX119" i="1"/>
  <c r="C119" i="1"/>
  <c r="F119" i="1"/>
  <c r="AG119" i="1"/>
  <c r="I119" i="1"/>
  <c r="AU119" i="1"/>
  <c r="AA119" i="1"/>
  <c r="K119" i="1"/>
  <c r="AV119" i="1"/>
  <c r="Q119" i="1"/>
  <c r="T119" i="1"/>
  <c r="W119" i="1"/>
  <c r="AE119" i="1"/>
  <c r="G119" i="1"/>
  <c r="X119" i="1"/>
  <c r="V119" i="1"/>
  <c r="H119" i="1"/>
  <c r="AZ119" i="1"/>
  <c r="P119" i="1"/>
  <c r="AQ119" i="1"/>
  <c r="BA119" i="1"/>
  <c r="AN60" i="1"/>
  <c r="P60" i="1"/>
  <c r="AF60" i="1"/>
  <c r="H60" i="1"/>
  <c r="AA60" i="1"/>
  <c r="X60" i="1"/>
  <c r="K60" i="1"/>
  <c r="AQ60" i="1"/>
  <c r="AV60" i="1"/>
  <c r="AJ60" i="1"/>
  <c r="AB60" i="1"/>
  <c r="C60" i="1"/>
  <c r="AE60" i="1"/>
  <c r="BA60" i="1"/>
  <c r="Q60" i="1"/>
  <c r="AP60" i="1"/>
  <c r="AT60" i="1"/>
  <c r="T60" i="1"/>
  <c r="L60" i="1"/>
  <c r="W60" i="1"/>
  <c r="AY60" i="1"/>
  <c r="O60" i="1"/>
  <c r="E60" i="1"/>
  <c r="M60" i="1"/>
  <c r="AG60" i="1"/>
  <c r="R60" i="1"/>
  <c r="AO60" i="1"/>
  <c r="F60" i="1"/>
  <c r="D60" i="1"/>
  <c r="AM60" i="1"/>
  <c r="AI60" i="1"/>
  <c r="U60" i="1"/>
  <c r="AC60" i="1"/>
  <c r="AW60" i="1"/>
  <c r="I60" i="1"/>
  <c r="AH60" i="1"/>
  <c r="J60" i="1"/>
  <c r="N60" i="1"/>
  <c r="AL60" i="1"/>
  <c r="V60" i="1"/>
  <c r="AU60" i="1"/>
  <c r="Z60" i="1"/>
  <c r="AZ60" i="1"/>
  <c r="AR60" i="1"/>
  <c r="S60" i="1"/>
  <c r="AX60" i="1"/>
  <c r="Y60" i="1"/>
  <c r="G60" i="1"/>
  <c r="AK60" i="1"/>
  <c r="AS60" i="1"/>
  <c r="AD60" i="1"/>
  <c r="AL104" i="1"/>
  <c r="D104" i="1"/>
  <c r="E104" i="1"/>
  <c r="J104" i="1"/>
  <c r="AE104" i="1"/>
  <c r="AN104" i="1"/>
  <c r="N104" i="1"/>
  <c r="S104" i="1"/>
  <c r="AB104" i="1"/>
  <c r="AS104" i="1"/>
  <c r="G104" i="1"/>
  <c r="AF104" i="1"/>
  <c r="AW104" i="1"/>
  <c r="K104" i="1"/>
  <c r="T104" i="1"/>
  <c r="U104" i="1"/>
  <c r="Z104" i="1"/>
  <c r="AU104" i="1"/>
  <c r="I104" i="1"/>
  <c r="AD104" i="1"/>
  <c r="AI104" i="1"/>
  <c r="AR104" i="1"/>
  <c r="R104" i="1"/>
  <c r="W104" i="1"/>
  <c r="AV104" i="1"/>
  <c r="F104" i="1"/>
  <c r="AA104" i="1"/>
  <c r="AJ104" i="1"/>
  <c r="AK104" i="1"/>
  <c r="AP104" i="1"/>
  <c r="H104" i="1"/>
  <c r="Y104" i="1"/>
  <c r="AT104" i="1"/>
  <c r="AY104" i="1"/>
  <c r="M104" i="1"/>
  <c r="AH104" i="1"/>
  <c r="AM104" i="1"/>
  <c r="Q104" i="1"/>
  <c r="V104" i="1"/>
  <c r="AQ104" i="1"/>
  <c r="AZ104" i="1"/>
  <c r="BA104" i="1"/>
  <c r="O104" i="1"/>
  <c r="X104" i="1"/>
  <c r="AO104" i="1"/>
  <c r="C104" i="1"/>
  <c r="L104" i="1"/>
  <c r="AC104" i="1"/>
  <c r="AX104" i="1"/>
  <c r="P104" i="1"/>
  <c r="AG104" i="1"/>
  <c r="M97" i="1"/>
  <c r="L97" i="1"/>
  <c r="AY97" i="1"/>
  <c r="AQ97" i="1"/>
  <c r="G97" i="1"/>
  <c r="AJ97" i="1"/>
  <c r="I97" i="1"/>
  <c r="AR97" i="1"/>
  <c r="J97" i="1"/>
  <c r="C97" i="1"/>
  <c r="W97" i="1"/>
  <c r="AT97" i="1"/>
  <c r="Q97" i="1"/>
  <c r="AA97" i="1"/>
  <c r="T97" i="1"/>
  <c r="V97" i="1"/>
  <c r="AM97" i="1"/>
  <c r="F97" i="1"/>
  <c r="H97" i="1"/>
  <c r="AN97" i="1"/>
  <c r="AF97" i="1"/>
  <c r="K97" i="1"/>
  <c r="AP97" i="1"/>
  <c r="X97" i="1"/>
  <c r="D97" i="1"/>
  <c r="P97" i="1"/>
  <c r="BA97" i="1"/>
  <c r="AO97" i="1"/>
  <c r="U97" i="1"/>
  <c r="Z97" i="1"/>
  <c r="AC97" i="1"/>
  <c r="AW97" i="1"/>
  <c r="AD97" i="1"/>
  <c r="Y97" i="1"/>
  <c r="S97" i="1"/>
  <c r="AS97" i="1"/>
  <c r="AI97" i="1"/>
  <c r="R97" i="1"/>
  <c r="AB97" i="1"/>
  <c r="N97" i="1"/>
  <c r="AH97" i="1"/>
  <c r="AE97" i="1"/>
  <c r="AG97" i="1"/>
  <c r="AK97" i="1"/>
  <c r="AU97" i="1"/>
  <c r="AX97" i="1"/>
  <c r="AZ97" i="1"/>
  <c r="E97" i="1"/>
  <c r="AV97" i="1"/>
  <c r="O97" i="1"/>
  <c r="AL97" i="1"/>
  <c r="P117" i="1"/>
  <c r="F117" i="1"/>
  <c r="AL117" i="1"/>
  <c r="AD117" i="1"/>
  <c r="AJ117" i="1"/>
  <c r="AK117" i="1"/>
  <c r="K117" i="1"/>
  <c r="AN117" i="1"/>
  <c r="AA117" i="1"/>
  <c r="AO117" i="1"/>
  <c r="AR117" i="1"/>
  <c r="G117" i="1"/>
  <c r="Y117" i="1"/>
  <c r="AF117" i="1"/>
  <c r="AE117" i="1"/>
  <c r="J117" i="1"/>
  <c r="AY117" i="1"/>
  <c r="AZ117" i="1"/>
  <c r="V117" i="1"/>
  <c r="AI117" i="1"/>
  <c r="Q117" i="1"/>
  <c r="W117" i="1"/>
  <c r="AQ117" i="1"/>
  <c r="E117" i="1"/>
  <c r="AG117" i="1"/>
  <c r="AT117" i="1"/>
  <c r="AV117" i="1"/>
  <c r="BA117" i="1"/>
  <c r="AH117" i="1"/>
  <c r="D117" i="1"/>
  <c r="M117" i="1"/>
  <c r="R117" i="1"/>
  <c r="H117" i="1"/>
  <c r="U117" i="1"/>
  <c r="AS117" i="1"/>
  <c r="L117" i="1"/>
  <c r="Z117" i="1"/>
  <c r="AC117" i="1"/>
  <c r="AW117" i="1"/>
  <c r="I117" i="1"/>
  <c r="O117" i="1"/>
  <c r="C117" i="1"/>
  <c r="T117" i="1"/>
  <c r="N117" i="1"/>
  <c r="AM117" i="1"/>
  <c r="X117" i="1"/>
  <c r="AP117" i="1"/>
  <c r="S117" i="1"/>
  <c r="AB117" i="1"/>
  <c r="AU117" i="1"/>
  <c r="AX117" i="1"/>
  <c r="M136" i="1"/>
  <c r="AH136" i="1"/>
  <c r="J136" i="1"/>
  <c r="AQ136" i="1"/>
  <c r="R136" i="1"/>
  <c r="O136" i="1"/>
  <c r="AC136" i="1"/>
  <c r="H136" i="1"/>
  <c r="AE136" i="1"/>
  <c r="Q136" i="1"/>
  <c r="AS136" i="1"/>
  <c r="AD136" i="1"/>
  <c r="AZ136" i="1"/>
  <c r="AG136" i="1"/>
  <c r="N136" i="1"/>
  <c r="L136" i="1"/>
  <c r="AY136" i="1"/>
  <c r="V136" i="1"/>
  <c r="AW136" i="1"/>
  <c r="AJ136" i="1"/>
  <c r="E136" i="1"/>
  <c r="W136" i="1"/>
  <c r="T136" i="1"/>
  <c r="I136" i="1"/>
  <c r="AB136" i="1"/>
  <c r="AT136" i="1"/>
  <c r="P136" i="1"/>
  <c r="F136" i="1"/>
  <c r="U136" i="1"/>
  <c r="AR136" i="1"/>
  <c r="AP136" i="1"/>
  <c r="Y136" i="1"/>
  <c r="AX136" i="1"/>
  <c r="D136" i="1"/>
  <c r="AL136" i="1"/>
  <c r="AM136" i="1"/>
  <c r="AA136" i="1"/>
  <c r="AK136" i="1"/>
  <c r="S136" i="1"/>
  <c r="K136" i="1"/>
  <c r="AO136" i="1"/>
  <c r="C136" i="1"/>
  <c r="Z136" i="1"/>
  <c r="AI136" i="1"/>
  <c r="AV136" i="1"/>
  <c r="BA136" i="1"/>
  <c r="AN136" i="1"/>
  <c r="AF136" i="1"/>
  <c r="G136" i="1"/>
  <c r="X136" i="1"/>
  <c r="AU136" i="1"/>
  <c r="X139" i="1"/>
  <c r="AT139" i="1"/>
  <c r="AW139" i="1"/>
  <c r="I139" i="1"/>
  <c r="AP139" i="1"/>
  <c r="AF139" i="1"/>
  <c r="J139" i="1"/>
  <c r="D139" i="1"/>
  <c r="S139" i="1"/>
  <c r="AQ139" i="1"/>
  <c r="G139" i="1"/>
  <c r="M139" i="1"/>
  <c r="AM139" i="1"/>
  <c r="AN139" i="1"/>
  <c r="AE139" i="1"/>
  <c r="L139" i="1"/>
  <c r="AD139" i="1"/>
  <c r="K139" i="1"/>
  <c r="AV139" i="1"/>
  <c r="BA139" i="1"/>
  <c r="T139" i="1"/>
  <c r="AO139" i="1"/>
  <c r="W139" i="1"/>
  <c r="AC139" i="1"/>
  <c r="AH139" i="1"/>
  <c r="O139" i="1"/>
  <c r="C139" i="1"/>
  <c r="F139" i="1"/>
  <c r="AB139" i="1"/>
  <c r="AY139" i="1"/>
  <c r="AG139" i="1"/>
  <c r="N139" i="1"/>
  <c r="Q139" i="1"/>
  <c r="AJ139" i="1"/>
  <c r="U139" i="1"/>
  <c r="AS139" i="1"/>
  <c r="AX139" i="1"/>
  <c r="AU139" i="1"/>
  <c r="H139" i="1"/>
  <c r="Y139" i="1"/>
  <c r="AA139" i="1"/>
  <c r="AR139" i="1"/>
  <c r="E139" i="1"/>
  <c r="P139" i="1"/>
  <c r="AI139" i="1"/>
  <c r="AL139" i="1"/>
  <c r="AZ139" i="1"/>
  <c r="V139" i="1"/>
  <c r="Z139" i="1"/>
  <c r="AK139" i="1"/>
  <c r="R139" i="1"/>
  <c r="M103" i="1"/>
  <c r="Z103" i="1"/>
  <c r="AG103" i="1"/>
  <c r="AT103" i="1"/>
  <c r="BA103" i="1"/>
  <c r="I103" i="1"/>
  <c r="V103" i="1"/>
  <c r="AQ103" i="1"/>
  <c r="O103" i="1"/>
  <c r="T103" i="1"/>
  <c r="AI103" i="1"/>
  <c r="AC103" i="1"/>
  <c r="AP103" i="1"/>
  <c r="AW103" i="1"/>
  <c r="E103" i="1"/>
  <c r="R103" i="1"/>
  <c r="Y103" i="1"/>
  <c r="AL103" i="1"/>
  <c r="P103" i="1"/>
  <c r="AE103" i="1"/>
  <c r="AJ103" i="1"/>
  <c r="AS103" i="1"/>
  <c r="G103" i="1"/>
  <c r="N103" i="1"/>
  <c r="U103" i="1"/>
  <c r="AH103" i="1"/>
  <c r="AO103" i="1"/>
  <c r="K103" i="1"/>
  <c r="AF103" i="1"/>
  <c r="AU103" i="1"/>
  <c r="J103" i="1"/>
  <c r="Q103" i="1"/>
  <c r="AD103" i="1"/>
  <c r="AK103" i="1"/>
  <c r="AX103" i="1"/>
  <c r="F103" i="1"/>
  <c r="AA103" i="1"/>
  <c r="AV103" i="1"/>
  <c r="D103" i="1"/>
  <c r="AY103" i="1"/>
  <c r="C103" i="1"/>
  <c r="AB103" i="1"/>
  <c r="H103" i="1"/>
  <c r="W103" i="1"/>
  <c r="AR103" i="1"/>
  <c r="AZ103" i="1"/>
  <c r="X103" i="1"/>
  <c r="AM103" i="1"/>
  <c r="S103" i="1"/>
  <c r="AN103" i="1"/>
  <c r="L103" i="1"/>
  <c r="X76" i="1"/>
  <c r="AB76" i="1"/>
  <c r="D76" i="1"/>
  <c r="K76" i="1"/>
  <c r="P76" i="1"/>
  <c r="W76" i="1"/>
  <c r="AH76" i="1"/>
  <c r="AN76" i="1"/>
  <c r="R76" i="1"/>
  <c r="AR76" i="1"/>
  <c r="T76" i="1"/>
  <c r="AF76" i="1"/>
  <c r="AX76" i="1"/>
  <c r="AQ76" i="1"/>
  <c r="AJ76" i="1"/>
  <c r="AV76" i="1"/>
  <c r="AM76" i="1"/>
  <c r="H76" i="1"/>
  <c r="L76" i="1"/>
  <c r="AA76" i="1"/>
  <c r="AZ76" i="1"/>
  <c r="G76" i="1"/>
  <c r="AG76" i="1"/>
  <c r="U76" i="1"/>
  <c r="E76" i="1"/>
  <c r="N76" i="1"/>
  <c r="AS76" i="1"/>
  <c r="AY76" i="1"/>
  <c r="AW76" i="1"/>
  <c r="AK76" i="1"/>
  <c r="Y76" i="1"/>
  <c r="AI76" i="1"/>
  <c r="AP76" i="1"/>
  <c r="AC76" i="1"/>
  <c r="AU76" i="1"/>
  <c r="AL76" i="1"/>
  <c r="BA76" i="1"/>
  <c r="AO76" i="1"/>
  <c r="AT76" i="1"/>
  <c r="S76" i="1"/>
  <c r="Z76" i="1"/>
  <c r="AE76" i="1"/>
  <c r="V76" i="1"/>
  <c r="M76" i="1"/>
  <c r="Q76" i="1"/>
  <c r="AD76" i="1"/>
  <c r="C76" i="1"/>
  <c r="J76" i="1"/>
  <c r="O76" i="1"/>
  <c r="F76" i="1"/>
  <c r="I76" i="1"/>
  <c r="P56" i="1"/>
  <c r="AA56" i="1"/>
  <c r="C56" i="1"/>
  <c r="AV56" i="1"/>
  <c r="F56" i="1"/>
  <c r="AL56" i="1"/>
  <c r="AQ56" i="1"/>
  <c r="AE56" i="1"/>
  <c r="AT56" i="1"/>
  <c r="L56" i="1"/>
  <c r="Q56" i="1"/>
  <c r="AM56" i="1"/>
  <c r="AN56" i="1"/>
  <c r="D56" i="1"/>
  <c r="AD56" i="1"/>
  <c r="O56" i="1"/>
  <c r="X56" i="1"/>
  <c r="AS56" i="1"/>
  <c r="AG56" i="1"/>
  <c r="BA56" i="1"/>
  <c r="V56" i="1"/>
  <c r="AF56" i="1"/>
  <c r="AC56" i="1"/>
  <c r="AH56" i="1"/>
  <c r="Z56" i="1"/>
  <c r="AY56" i="1"/>
  <c r="AJ56" i="1"/>
  <c r="N56" i="1"/>
  <c r="T56" i="1"/>
  <c r="Y56" i="1"/>
  <c r="M56" i="1"/>
  <c r="E56" i="1"/>
  <c r="U56" i="1"/>
  <c r="AZ56" i="1"/>
  <c r="K56" i="1"/>
  <c r="J56" i="1"/>
  <c r="W56" i="1"/>
  <c r="I56" i="1"/>
  <c r="AU56" i="1"/>
  <c r="AI56" i="1"/>
  <c r="AP56" i="1"/>
  <c r="AR56" i="1"/>
  <c r="AX56" i="1"/>
  <c r="R56" i="1"/>
  <c r="AB56" i="1"/>
  <c r="H56" i="1"/>
  <c r="AW56" i="1"/>
  <c r="AO56" i="1"/>
  <c r="S56" i="1"/>
  <c r="G56" i="1"/>
  <c r="AK56" i="1"/>
  <c r="AU140" i="1"/>
  <c r="X140" i="1"/>
  <c r="Q140" i="1"/>
  <c r="I140" i="1"/>
  <c r="AN140" i="1"/>
  <c r="K140" i="1"/>
  <c r="S140" i="1"/>
  <c r="C140" i="1"/>
  <c r="AV140" i="1"/>
  <c r="AF140" i="1"/>
  <c r="Z140" i="1"/>
  <c r="W140" i="1"/>
  <c r="AM140" i="1"/>
  <c r="U140" i="1"/>
  <c r="V140" i="1"/>
  <c r="M140" i="1"/>
  <c r="AB140" i="1"/>
  <c r="D140" i="1"/>
  <c r="AL140" i="1"/>
  <c r="AR140" i="1"/>
  <c r="AJ140" i="1"/>
  <c r="P140" i="1"/>
  <c r="AX140" i="1"/>
  <c r="AT140" i="1"/>
  <c r="O140" i="1"/>
  <c r="AP140" i="1"/>
  <c r="AK140" i="1"/>
  <c r="G140" i="1"/>
  <c r="AQ140" i="1"/>
  <c r="AG140" i="1"/>
  <c r="AY140" i="1"/>
  <c r="T140" i="1"/>
  <c r="AC140" i="1"/>
  <c r="AH140" i="1"/>
  <c r="AW140" i="1"/>
  <c r="BA140" i="1"/>
  <c r="R140" i="1"/>
  <c r="N140" i="1"/>
  <c r="AI140" i="1"/>
  <c r="AA140" i="1"/>
  <c r="F140" i="1"/>
  <c r="AS140" i="1"/>
  <c r="L140" i="1"/>
  <c r="E140" i="1"/>
  <c r="H140" i="1"/>
  <c r="AO140" i="1"/>
  <c r="Y140" i="1"/>
  <c r="AD140" i="1"/>
  <c r="AZ140" i="1"/>
  <c r="J140" i="1"/>
  <c r="AE140" i="1"/>
  <c r="M75" i="1"/>
  <c r="Q75" i="1"/>
  <c r="AJ75" i="1"/>
  <c r="AU75" i="1"/>
  <c r="AN75" i="1"/>
  <c r="AC75" i="1"/>
  <c r="AG75" i="1"/>
  <c r="O75" i="1"/>
  <c r="F75" i="1"/>
  <c r="AZ75" i="1"/>
  <c r="AE75" i="1"/>
  <c r="AX75" i="1"/>
  <c r="AW75" i="1"/>
  <c r="BA75" i="1"/>
  <c r="X75" i="1"/>
  <c r="U75" i="1"/>
  <c r="AK75" i="1"/>
  <c r="T75" i="1"/>
  <c r="K75" i="1"/>
  <c r="C75" i="1"/>
  <c r="AS75" i="1"/>
  <c r="G75" i="1"/>
  <c r="I75" i="1"/>
  <c r="AO75" i="1"/>
  <c r="AV75" i="1"/>
  <c r="AM75" i="1"/>
  <c r="AR75" i="1"/>
  <c r="AY75" i="1"/>
  <c r="Z75" i="1"/>
  <c r="N75" i="1"/>
  <c r="AQ75" i="1"/>
  <c r="AD75" i="1"/>
  <c r="Y75" i="1"/>
  <c r="AF75" i="1"/>
  <c r="W75" i="1"/>
  <c r="AB75" i="1"/>
  <c r="AI75" i="1"/>
  <c r="AP75" i="1"/>
  <c r="AH75" i="1"/>
  <c r="R75" i="1"/>
  <c r="V75" i="1"/>
  <c r="AA75" i="1"/>
  <c r="H75" i="1"/>
  <c r="P75" i="1"/>
  <c r="E75" i="1"/>
  <c r="L75" i="1"/>
  <c r="S75" i="1"/>
  <c r="AL75" i="1"/>
  <c r="D75" i="1"/>
  <c r="AT75" i="1"/>
  <c r="J75" i="1"/>
  <c r="BA54" i="1"/>
  <c r="AI54" i="1"/>
  <c r="M54" i="1"/>
  <c r="AQ54" i="1"/>
  <c r="L54" i="1"/>
  <c r="AK54" i="1"/>
  <c r="R54" i="1"/>
  <c r="P54" i="1"/>
  <c r="AL54" i="1"/>
  <c r="AO54" i="1"/>
  <c r="D54" i="1"/>
  <c r="N54" i="1"/>
  <c r="AM54" i="1"/>
  <c r="AY54" i="1"/>
  <c r="AE54" i="1"/>
  <c r="AC54" i="1"/>
  <c r="J54" i="1"/>
  <c r="AF54" i="1"/>
  <c r="AH54" i="1"/>
  <c r="AJ54" i="1"/>
  <c r="AX54" i="1"/>
  <c r="AW54" i="1"/>
  <c r="S54" i="1"/>
  <c r="AA54" i="1"/>
  <c r="AU54" i="1"/>
  <c r="H54" i="1"/>
  <c r="X54" i="1"/>
  <c r="AS54" i="1"/>
  <c r="AG54" i="1"/>
  <c r="W54" i="1"/>
  <c r="T54" i="1"/>
  <c r="Z54" i="1"/>
  <c r="AZ54" i="1"/>
  <c r="E54" i="1"/>
  <c r="K54" i="1"/>
  <c r="I54" i="1"/>
  <c r="F54" i="1"/>
  <c r="AV54" i="1"/>
  <c r="Q54" i="1"/>
  <c r="AD54" i="1"/>
  <c r="AP54" i="1"/>
  <c r="G54" i="1"/>
  <c r="U54" i="1"/>
  <c r="Y54" i="1"/>
  <c r="V54" i="1"/>
  <c r="C54" i="1"/>
  <c r="AB54" i="1"/>
  <c r="O54" i="1"/>
  <c r="AN54" i="1"/>
  <c r="AR54" i="1"/>
  <c r="AT54" i="1"/>
  <c r="R125" i="1"/>
  <c r="Q125" i="1"/>
  <c r="AX125" i="1"/>
  <c r="AW125" i="1"/>
  <c r="AE125" i="1"/>
  <c r="AG125" i="1"/>
  <c r="H125" i="1"/>
  <c r="AH125" i="1"/>
  <c r="W125" i="1"/>
  <c r="U125" i="1"/>
  <c r="G125" i="1"/>
  <c r="AB125" i="1"/>
  <c r="AS125" i="1"/>
  <c r="AI125" i="1"/>
  <c r="I125" i="1"/>
  <c r="AT125" i="1"/>
  <c r="AJ125" i="1"/>
  <c r="F125" i="1"/>
  <c r="AQ125" i="1"/>
  <c r="AO125" i="1"/>
  <c r="AA125" i="1"/>
  <c r="AV125" i="1"/>
  <c r="N125" i="1"/>
  <c r="L125" i="1"/>
  <c r="AC125" i="1"/>
  <c r="S125" i="1"/>
  <c r="M125" i="1"/>
  <c r="AN125" i="1"/>
  <c r="Z125" i="1"/>
  <c r="AD125" i="1"/>
  <c r="T125" i="1"/>
  <c r="J125" i="1"/>
  <c r="AY125" i="1"/>
  <c r="E125" i="1"/>
  <c r="AP125" i="1"/>
  <c r="AF125" i="1"/>
  <c r="BA125" i="1"/>
  <c r="AM125" i="1"/>
  <c r="AK125" i="1"/>
  <c r="AU125" i="1"/>
  <c r="O125" i="1"/>
  <c r="X125" i="1"/>
  <c r="C125" i="1"/>
  <c r="AR125" i="1"/>
  <c r="AL125" i="1"/>
  <c r="D125" i="1"/>
  <c r="Y125" i="1"/>
  <c r="K125" i="1"/>
  <c r="AZ125" i="1"/>
  <c r="V125" i="1"/>
  <c r="P125" i="1"/>
  <c r="M69" i="1"/>
  <c r="AT69" i="1"/>
  <c r="Q69" i="1"/>
  <c r="H69" i="1"/>
  <c r="AM69" i="1"/>
  <c r="AZ69" i="1"/>
  <c r="AS69" i="1"/>
  <c r="AF69" i="1"/>
  <c r="G69" i="1"/>
  <c r="AY69" i="1"/>
  <c r="J69" i="1"/>
  <c r="AO69" i="1"/>
  <c r="F69" i="1"/>
  <c r="BA69" i="1"/>
  <c r="K69" i="1"/>
  <c r="AX69" i="1"/>
  <c r="AJ69" i="1"/>
  <c r="N69" i="1"/>
  <c r="P69" i="1"/>
  <c r="AI69" i="1"/>
  <c r="Y69" i="1"/>
  <c r="AU69" i="1"/>
  <c r="AK69" i="1"/>
  <c r="L69" i="1"/>
  <c r="AR69" i="1"/>
  <c r="AN69" i="1"/>
  <c r="T69" i="1"/>
  <c r="W69" i="1"/>
  <c r="AC69" i="1"/>
  <c r="S69" i="1"/>
  <c r="AP69" i="1"/>
  <c r="I69" i="1"/>
  <c r="AE69" i="1"/>
  <c r="AL69" i="1"/>
  <c r="U69" i="1"/>
  <c r="AB69" i="1"/>
  <c r="X69" i="1"/>
  <c r="AD69" i="1"/>
  <c r="D69" i="1"/>
  <c r="AV69" i="1"/>
  <c r="C69" i="1"/>
  <c r="Z69" i="1"/>
  <c r="O69" i="1"/>
  <c r="V69" i="1"/>
  <c r="E69" i="1"/>
  <c r="AA69" i="1"/>
  <c r="AH69" i="1"/>
  <c r="AG69" i="1"/>
  <c r="R69" i="1"/>
  <c r="AQ69" i="1"/>
  <c r="AW69" i="1"/>
  <c r="D105" i="1"/>
  <c r="K105" i="1"/>
  <c r="X105" i="1"/>
  <c r="AU105" i="1"/>
  <c r="C105" i="1"/>
  <c r="P105" i="1"/>
  <c r="U105" i="1"/>
  <c r="Z105" i="1"/>
  <c r="AO105" i="1"/>
  <c r="M105" i="1"/>
  <c r="AH105" i="1"/>
  <c r="AW105" i="1"/>
  <c r="G105" i="1"/>
  <c r="T105" i="1"/>
  <c r="AA105" i="1"/>
  <c r="AN105" i="1"/>
  <c r="L105" i="1"/>
  <c r="S105" i="1"/>
  <c r="AF105" i="1"/>
  <c r="AK105" i="1"/>
  <c r="AP105" i="1"/>
  <c r="N105" i="1"/>
  <c r="AC105" i="1"/>
  <c r="AX105" i="1"/>
  <c r="F105" i="1"/>
  <c r="W105" i="1"/>
  <c r="AJ105" i="1"/>
  <c r="AQ105" i="1"/>
  <c r="O105" i="1"/>
  <c r="AB105" i="1"/>
  <c r="AI105" i="1"/>
  <c r="AV105" i="1"/>
  <c r="BA105" i="1"/>
  <c r="I105" i="1"/>
  <c r="AD105" i="1"/>
  <c r="AS105" i="1"/>
  <c r="Q105" i="1"/>
  <c r="V105" i="1"/>
  <c r="AM105" i="1"/>
  <c r="AZ105" i="1"/>
  <c r="H105" i="1"/>
  <c r="AE105" i="1"/>
  <c r="AR105" i="1"/>
  <c r="AY105" i="1"/>
  <c r="E105" i="1"/>
  <c r="J105" i="1"/>
  <c r="Y105" i="1"/>
  <c r="AT105" i="1"/>
  <c r="R105" i="1"/>
  <c r="AG105" i="1"/>
  <c r="AL105" i="1"/>
  <c r="AC59" i="1"/>
  <c r="AK59" i="1"/>
  <c r="AK175" i="1" s="1"/>
  <c r="M59" i="1"/>
  <c r="M175" i="1" s="1"/>
  <c r="AI59" i="1"/>
  <c r="AI175" i="1" s="1"/>
  <c r="BA59" i="1"/>
  <c r="BA175" i="1" s="1"/>
  <c r="E59" i="1"/>
  <c r="E175" i="1" s="1"/>
  <c r="AS59" i="1"/>
  <c r="AS175" i="1" s="1"/>
  <c r="L59" i="1"/>
  <c r="L175" i="1" s="1"/>
  <c r="U59" i="1"/>
  <c r="AF59" i="1"/>
  <c r="AF175" i="1" s="1"/>
  <c r="AG59" i="1"/>
  <c r="AB59" i="1"/>
  <c r="I59" i="1"/>
  <c r="I175" i="1" s="1"/>
  <c r="AX59" i="1"/>
  <c r="AX175" i="1" s="1"/>
  <c r="AP59" i="1"/>
  <c r="AP175" i="1" s="1"/>
  <c r="AU59" i="1"/>
  <c r="AZ59" i="1"/>
  <c r="AL59" i="1"/>
  <c r="AL175" i="1" s="1"/>
  <c r="W59" i="1"/>
  <c r="AA59" i="1"/>
  <c r="Q59" i="1"/>
  <c r="Q175" i="1" s="1"/>
  <c r="S59" i="1"/>
  <c r="S175" i="1" s="1"/>
  <c r="AR59" i="1"/>
  <c r="AR175" i="1" s="1"/>
  <c r="N59" i="1"/>
  <c r="N175" i="1" s="1"/>
  <c r="F59" i="1"/>
  <c r="D59" i="1"/>
  <c r="D175" i="1" s="1"/>
  <c r="AM59" i="1"/>
  <c r="AQ59" i="1"/>
  <c r="AQ175" i="1" s="1"/>
  <c r="AO59" i="1"/>
  <c r="AV59" i="1"/>
  <c r="AV175" i="1" s="1"/>
  <c r="X59" i="1"/>
  <c r="V59" i="1"/>
  <c r="V175" i="1" s="1"/>
  <c r="AN59" i="1"/>
  <c r="AN175" i="1" s="1"/>
  <c r="AY59" i="1"/>
  <c r="R59" i="1"/>
  <c r="R175" i="1" s="1"/>
  <c r="J59" i="1"/>
  <c r="J175" i="1" s="1"/>
  <c r="AD59" i="1"/>
  <c r="AD175" i="1" s="1"/>
  <c r="O59" i="1"/>
  <c r="T59" i="1"/>
  <c r="T175" i="1" s="1"/>
  <c r="C59" i="1"/>
  <c r="AJ59" i="1"/>
  <c r="AJ175" i="1" s="1"/>
  <c r="P59" i="1"/>
  <c r="AE59" i="1"/>
  <c r="AE175" i="1" s="1"/>
  <c r="H59" i="1"/>
  <c r="AH59" i="1"/>
  <c r="AH175" i="1" s="1"/>
  <c r="Z59" i="1"/>
  <c r="K59" i="1"/>
  <c r="K175" i="1" s="1"/>
  <c r="AW59" i="1"/>
  <c r="AW175" i="1" s="1"/>
  <c r="Y59" i="1"/>
  <c r="Y175" i="1" s="1"/>
  <c r="AT59" i="1"/>
  <c r="AT175" i="1" s="1"/>
  <c r="G59" i="1"/>
  <c r="G175" i="1" s="1"/>
  <c r="AA64" i="1"/>
  <c r="D64" i="1"/>
  <c r="AY64" i="1"/>
  <c r="AI64" i="1"/>
  <c r="AN64" i="1"/>
  <c r="AU64" i="1"/>
  <c r="AH64" i="1"/>
  <c r="AR64" i="1"/>
  <c r="H64" i="1"/>
  <c r="S64" i="1"/>
  <c r="V64" i="1"/>
  <c r="AZ64" i="1"/>
  <c r="AV64" i="1"/>
  <c r="X64" i="1"/>
  <c r="P64" i="1"/>
  <c r="AQ64" i="1"/>
  <c r="O64" i="1"/>
  <c r="AD64" i="1"/>
  <c r="J64" i="1"/>
  <c r="C64" i="1"/>
  <c r="AP64" i="1"/>
  <c r="AF64" i="1"/>
  <c r="F64" i="1"/>
  <c r="Z64" i="1"/>
  <c r="L64" i="1"/>
  <c r="AE64" i="1"/>
  <c r="AJ64" i="1"/>
  <c r="AT64" i="1"/>
  <c r="T64" i="1"/>
  <c r="AL64" i="1"/>
  <c r="K64" i="1"/>
  <c r="N64" i="1"/>
  <c r="W64" i="1"/>
  <c r="AB64" i="1"/>
  <c r="Y64" i="1"/>
  <c r="AK64" i="1"/>
  <c r="AC64" i="1"/>
  <c r="Q64" i="1"/>
  <c r="AM64" i="1"/>
  <c r="G64" i="1"/>
  <c r="BA64" i="1"/>
  <c r="AS64" i="1"/>
  <c r="AG64" i="1"/>
  <c r="R64" i="1"/>
  <c r="E64" i="1"/>
  <c r="AW64" i="1"/>
  <c r="I64" i="1"/>
  <c r="U64" i="1"/>
  <c r="M64" i="1"/>
  <c r="AX64" i="1"/>
  <c r="AO64" i="1"/>
  <c r="J115" i="1"/>
  <c r="AA115" i="1"/>
  <c r="AC115" i="1"/>
  <c r="AO115" i="1"/>
  <c r="AG115" i="1"/>
  <c r="O115" i="1"/>
  <c r="E115" i="1"/>
  <c r="Q115" i="1"/>
  <c r="W115" i="1"/>
  <c r="AH115" i="1"/>
  <c r="AI115" i="1"/>
  <c r="M115" i="1"/>
  <c r="AM115" i="1"/>
  <c r="Z115" i="1"/>
  <c r="AQ115" i="1"/>
  <c r="H115" i="1"/>
  <c r="V115" i="1"/>
  <c r="N115" i="1"/>
  <c r="AE115" i="1"/>
  <c r="AK115" i="1"/>
  <c r="AW115" i="1"/>
  <c r="AR115" i="1"/>
  <c r="AX115" i="1"/>
  <c r="AY115" i="1"/>
  <c r="AS115" i="1"/>
  <c r="L115" i="1"/>
  <c r="AP115" i="1"/>
  <c r="T115" i="1"/>
  <c r="AN115" i="1"/>
  <c r="G115" i="1"/>
  <c r="AD115" i="1"/>
  <c r="AU115" i="1"/>
  <c r="P115" i="1"/>
  <c r="F115" i="1"/>
  <c r="AF115" i="1"/>
  <c r="C115" i="1"/>
  <c r="D115" i="1"/>
  <c r="X115" i="1"/>
  <c r="BA115" i="1"/>
  <c r="K115" i="1"/>
  <c r="AZ115" i="1"/>
  <c r="I115" i="1"/>
  <c r="U115" i="1"/>
  <c r="AT115" i="1"/>
  <c r="AB115" i="1"/>
  <c r="AV115" i="1"/>
  <c r="AL115" i="1"/>
  <c r="R115" i="1"/>
  <c r="S115" i="1"/>
  <c r="AJ115" i="1"/>
  <c r="Y115" i="1"/>
  <c r="AL50" i="1"/>
  <c r="H50" i="1"/>
  <c r="F50" i="1"/>
  <c r="U50" i="1"/>
  <c r="I50" i="1"/>
  <c r="E50" i="1"/>
  <c r="AR50" i="1"/>
  <c r="C50" i="1"/>
  <c r="K50" i="1"/>
  <c r="AO50" i="1"/>
  <c r="J50" i="1"/>
  <c r="AC50" i="1"/>
  <c r="AB50" i="1"/>
  <c r="AG50" i="1"/>
  <c r="AH50" i="1"/>
  <c r="AF50" i="1"/>
  <c r="AP50" i="1"/>
  <c r="Y50" i="1"/>
  <c r="AD50" i="1"/>
  <c r="N50" i="1"/>
  <c r="Z50" i="1"/>
  <c r="AY50" i="1"/>
  <c r="AA50" i="1"/>
  <c r="AU50" i="1"/>
  <c r="AM50" i="1"/>
  <c r="AJ50" i="1"/>
  <c r="T50" i="1"/>
  <c r="AX50" i="1"/>
  <c r="R50" i="1"/>
  <c r="X50" i="1"/>
  <c r="AW50" i="1"/>
  <c r="AT50" i="1"/>
  <c r="P50" i="1"/>
  <c r="AI50" i="1"/>
  <c r="AZ50" i="1"/>
  <c r="AV50" i="1"/>
  <c r="L50" i="1"/>
  <c r="M50" i="1"/>
  <c r="O50" i="1"/>
  <c r="AN50" i="1"/>
  <c r="AS50" i="1"/>
  <c r="AQ50" i="1"/>
  <c r="W50" i="1"/>
  <c r="D50" i="1"/>
  <c r="V50" i="1"/>
  <c r="S50" i="1"/>
  <c r="G50" i="1"/>
  <c r="AK50" i="1"/>
  <c r="BA50" i="1"/>
  <c r="Q50" i="1"/>
  <c r="AE50" i="1"/>
  <c r="R72" i="1"/>
  <c r="AE72" i="1"/>
  <c r="AQ72" i="1"/>
  <c r="N72" i="1"/>
  <c r="AH72" i="1"/>
  <c r="AW72" i="1"/>
  <c r="AF72" i="1"/>
  <c r="AX72" i="1"/>
  <c r="V72" i="1"/>
  <c r="Z72" i="1"/>
  <c r="C72" i="1"/>
  <c r="X72" i="1"/>
  <c r="AN72" i="1"/>
  <c r="AB72" i="1"/>
  <c r="D72" i="1"/>
  <c r="O72" i="1"/>
  <c r="AL72" i="1"/>
  <c r="AU72" i="1"/>
  <c r="AP72" i="1"/>
  <c r="G72" i="1"/>
  <c r="AO72" i="1"/>
  <c r="M72" i="1"/>
  <c r="AR72" i="1"/>
  <c r="Q72" i="1"/>
  <c r="AS72" i="1"/>
  <c r="AM72" i="1"/>
  <c r="AV72" i="1"/>
  <c r="AA72" i="1"/>
  <c r="L72" i="1"/>
  <c r="K72" i="1"/>
  <c r="AG72" i="1"/>
  <c r="AK72" i="1"/>
  <c r="S72" i="1"/>
  <c r="AZ72" i="1"/>
  <c r="H72" i="1"/>
  <c r="AJ72" i="1"/>
  <c r="AT72" i="1"/>
  <c r="T72" i="1"/>
  <c r="F72" i="1"/>
  <c r="W72" i="1"/>
  <c r="AY72" i="1"/>
  <c r="I72" i="1"/>
  <c r="AD72" i="1"/>
  <c r="AI72" i="1"/>
  <c r="BA72" i="1"/>
  <c r="P72" i="1"/>
  <c r="J72" i="1"/>
  <c r="Y72" i="1"/>
  <c r="U72" i="1"/>
  <c r="AC72" i="1"/>
  <c r="E72" i="1"/>
  <c r="Q39" i="1"/>
  <c r="R39" i="1"/>
  <c r="R155" i="1" s="1"/>
  <c r="Y39" i="1"/>
  <c r="Y155" i="1" s="1"/>
  <c r="K39" i="1"/>
  <c r="K155" i="1" s="1"/>
  <c r="AS39" i="1"/>
  <c r="AN39" i="1"/>
  <c r="AN155" i="1" s="1"/>
  <c r="AM39" i="1"/>
  <c r="AM155" i="1" s="1"/>
  <c r="AZ39" i="1"/>
  <c r="AZ155" i="1" s="1"/>
  <c r="AT39" i="1"/>
  <c r="U39" i="1"/>
  <c r="AE39" i="1"/>
  <c r="AE155" i="1" s="1"/>
  <c r="AB39" i="1"/>
  <c r="AB155" i="1" s="1"/>
  <c r="AL39" i="1"/>
  <c r="AL155" i="1" s="1"/>
  <c r="BA39" i="1"/>
  <c r="BA155" i="1" s="1"/>
  <c r="S39" i="1"/>
  <c r="S155" i="1" s="1"/>
  <c r="P39" i="1"/>
  <c r="P155" i="1" s="1"/>
  <c r="AA39" i="1"/>
  <c r="AA155" i="1" s="1"/>
  <c r="AX39" i="1"/>
  <c r="AX155" i="1" s="1"/>
  <c r="AQ39" i="1"/>
  <c r="AJ39" i="1"/>
  <c r="AJ155" i="1" s="1"/>
  <c r="AC39" i="1"/>
  <c r="AC155" i="1" s="1"/>
  <c r="AR39" i="1"/>
  <c r="AR155" i="1" s="1"/>
  <c r="F39" i="1"/>
  <c r="F155" i="1" s="1"/>
  <c r="AF39" i="1"/>
  <c r="AP39" i="1"/>
  <c r="AP155" i="1" s="1"/>
  <c r="E39" i="1"/>
  <c r="E155" i="1" s="1"/>
  <c r="AG39" i="1"/>
  <c r="AG155" i="1" s="1"/>
  <c r="AH39" i="1"/>
  <c r="H39" i="1"/>
  <c r="H155" i="1" s="1"/>
  <c r="G39" i="1"/>
  <c r="N39" i="1"/>
  <c r="O39" i="1"/>
  <c r="O155" i="1" s="1"/>
  <c r="V39" i="1"/>
  <c r="I39" i="1"/>
  <c r="I155" i="1" s="1"/>
  <c r="C39" i="1"/>
  <c r="C155" i="1" s="1"/>
  <c r="AV39" i="1"/>
  <c r="AW39" i="1"/>
  <c r="W39" i="1"/>
  <c r="W155" i="1" s="1"/>
  <c r="D39" i="1"/>
  <c r="D155" i="1" s="1"/>
  <c r="AD39" i="1"/>
  <c r="AU39" i="1"/>
  <c r="AI39" i="1"/>
  <c r="J39" i="1"/>
  <c r="J155" i="1" s="1"/>
  <c r="AK39" i="1"/>
  <c r="M39" i="1"/>
  <c r="X39" i="1"/>
  <c r="X155" i="1" s="1"/>
  <c r="T39" i="1"/>
  <c r="T155" i="1" s="1"/>
  <c r="AO39" i="1"/>
  <c r="L39" i="1"/>
  <c r="L155" i="1" s="1"/>
  <c r="AY39" i="1"/>
  <c r="AY155" i="1" s="1"/>
  <c r="Z39" i="1"/>
  <c r="Z155" i="1" s="1"/>
  <c r="T80" i="1"/>
  <c r="AI80" i="1"/>
  <c r="AY80" i="1"/>
  <c r="N80" i="1"/>
  <c r="AT80" i="1"/>
  <c r="I80" i="1"/>
  <c r="AJ80" i="1"/>
  <c r="W80" i="1"/>
  <c r="P80" i="1"/>
  <c r="L80" i="1"/>
  <c r="AA80" i="1"/>
  <c r="S80" i="1"/>
  <c r="AZ80" i="1"/>
  <c r="AQ80" i="1"/>
  <c r="AF80" i="1"/>
  <c r="AB80" i="1"/>
  <c r="AR80" i="1"/>
  <c r="AN80" i="1"/>
  <c r="H80" i="1"/>
  <c r="K80" i="1"/>
  <c r="AM80" i="1"/>
  <c r="D80" i="1"/>
  <c r="AD80" i="1"/>
  <c r="G80" i="1"/>
  <c r="AV80" i="1"/>
  <c r="X80" i="1"/>
  <c r="C80" i="1"/>
  <c r="M80" i="1"/>
  <c r="Q80" i="1"/>
  <c r="E80" i="1"/>
  <c r="AU80" i="1"/>
  <c r="AL80" i="1"/>
  <c r="AC80" i="1"/>
  <c r="AG80" i="1"/>
  <c r="U80" i="1"/>
  <c r="AP80" i="1"/>
  <c r="AE80" i="1"/>
  <c r="V80" i="1"/>
  <c r="AO80" i="1"/>
  <c r="AX80" i="1"/>
  <c r="AS80" i="1"/>
  <c r="AW80" i="1"/>
  <c r="AK80" i="1"/>
  <c r="Z80" i="1"/>
  <c r="O80" i="1"/>
  <c r="F80" i="1"/>
  <c r="AH80" i="1"/>
  <c r="BA80" i="1"/>
  <c r="J80" i="1"/>
  <c r="R80" i="1"/>
  <c r="Y80" i="1"/>
  <c r="AA37" i="1"/>
  <c r="AQ37" i="1"/>
  <c r="F37" i="1"/>
  <c r="T37" i="1"/>
  <c r="L37" i="1"/>
  <c r="P37" i="1"/>
  <c r="AS37" i="1"/>
  <c r="AO37" i="1"/>
  <c r="AP37" i="1"/>
  <c r="AH37" i="1"/>
  <c r="AM37" i="1"/>
  <c r="AI37" i="1"/>
  <c r="AT37" i="1"/>
  <c r="AL37" i="1"/>
  <c r="AJ37" i="1"/>
  <c r="AB37" i="1"/>
  <c r="AW37" i="1"/>
  <c r="AV37" i="1"/>
  <c r="G37" i="1"/>
  <c r="AU37" i="1"/>
  <c r="Z37" i="1"/>
  <c r="R37" i="1"/>
  <c r="U37" i="1"/>
  <c r="S37" i="1"/>
  <c r="AD37" i="1"/>
  <c r="BA37" i="1"/>
  <c r="V37" i="1"/>
  <c r="AZ37" i="1"/>
  <c r="AR37" i="1"/>
  <c r="M37" i="1"/>
  <c r="H37" i="1"/>
  <c r="I37" i="1"/>
  <c r="AE37" i="1"/>
  <c r="J37" i="1"/>
  <c r="AK37" i="1"/>
  <c r="C37" i="1"/>
  <c r="N37" i="1"/>
  <c r="Q37" i="1"/>
  <c r="AG37" i="1"/>
  <c r="K37" i="1"/>
  <c r="D37" i="1"/>
  <c r="AC37" i="1"/>
  <c r="X37" i="1"/>
  <c r="AN37" i="1"/>
  <c r="Y37" i="1"/>
  <c r="O37" i="1"/>
  <c r="E37" i="1"/>
  <c r="AF37" i="1"/>
  <c r="W37" i="1"/>
  <c r="AX37" i="1"/>
  <c r="AY37" i="1"/>
  <c r="AD137" i="1"/>
  <c r="U137" i="1"/>
  <c r="R137" i="1"/>
  <c r="Y137" i="1"/>
  <c r="BA137" i="1"/>
  <c r="F137" i="1"/>
  <c r="AE137" i="1"/>
  <c r="L137" i="1"/>
  <c r="AP137" i="1"/>
  <c r="AK137" i="1"/>
  <c r="AN137" i="1"/>
  <c r="AQ137" i="1"/>
  <c r="M137" i="1"/>
  <c r="AT137" i="1"/>
  <c r="AV137" i="1"/>
  <c r="AH137" i="1"/>
  <c r="AU137" i="1"/>
  <c r="G137" i="1"/>
  <c r="V137" i="1"/>
  <c r="AZ137" i="1"/>
  <c r="AG137" i="1"/>
  <c r="O137" i="1"/>
  <c r="Q137" i="1"/>
  <c r="C137" i="1"/>
  <c r="H137" i="1"/>
  <c r="AI137" i="1"/>
  <c r="T137" i="1"/>
  <c r="W137" i="1"/>
  <c r="AX137" i="1"/>
  <c r="E137" i="1"/>
  <c r="AB137" i="1"/>
  <c r="AL137" i="1"/>
  <c r="K137" i="1"/>
  <c r="J137" i="1"/>
  <c r="AJ137" i="1"/>
  <c r="AM137" i="1"/>
  <c r="X137" i="1"/>
  <c r="AC137" i="1"/>
  <c r="N137" i="1"/>
  <c r="AO137" i="1"/>
  <c r="AR137" i="1"/>
  <c r="D137" i="1"/>
  <c r="AA137" i="1"/>
  <c r="AW137" i="1"/>
  <c r="I137" i="1"/>
  <c r="AF137" i="1"/>
  <c r="Z137" i="1"/>
  <c r="P137" i="1"/>
  <c r="S137" i="1"/>
  <c r="AS137" i="1"/>
  <c r="AY137" i="1"/>
  <c r="AQ73" i="1"/>
  <c r="AA73" i="1"/>
  <c r="U73" i="1"/>
  <c r="AX73" i="1"/>
  <c r="I73" i="1"/>
  <c r="M73" i="1"/>
  <c r="J73" i="1"/>
  <c r="AK73" i="1"/>
  <c r="G73" i="1"/>
  <c r="AI73" i="1"/>
  <c r="BA73" i="1"/>
  <c r="R73" i="1"/>
  <c r="AO73" i="1"/>
  <c r="AS73" i="1"/>
  <c r="Z73" i="1"/>
  <c r="E73" i="1"/>
  <c r="AH73" i="1"/>
  <c r="AT73" i="1"/>
  <c r="AL73" i="1"/>
  <c r="AJ73" i="1"/>
  <c r="AE73" i="1"/>
  <c r="K73" i="1"/>
  <c r="AM73" i="1"/>
  <c r="C73" i="1"/>
  <c r="W73" i="1"/>
  <c r="AU73" i="1"/>
  <c r="AC73" i="1"/>
  <c r="L73" i="1"/>
  <c r="V73" i="1"/>
  <c r="D73" i="1"/>
  <c r="S73" i="1"/>
  <c r="AB73" i="1"/>
  <c r="O73" i="1"/>
  <c r="T73" i="1"/>
  <c r="AP73" i="1"/>
  <c r="X73" i="1"/>
  <c r="AZ73" i="1"/>
  <c r="AF73" i="1"/>
  <c r="H73" i="1"/>
  <c r="Y73" i="1"/>
  <c r="F73" i="1"/>
  <c r="Q73" i="1"/>
  <c r="AD73" i="1"/>
  <c r="AR73" i="1"/>
  <c r="AG73" i="1"/>
  <c r="N73" i="1"/>
  <c r="AW73" i="1"/>
  <c r="P73" i="1"/>
  <c r="AN73" i="1"/>
  <c r="AV73" i="1"/>
  <c r="AY73" i="1"/>
  <c r="S101" i="1"/>
  <c r="AH101" i="1"/>
  <c r="D101" i="1"/>
  <c r="W101" i="1"/>
  <c r="N101" i="1"/>
  <c r="AA101" i="1"/>
  <c r="T101" i="1"/>
  <c r="O101" i="1"/>
  <c r="H101" i="1"/>
  <c r="AT101" i="1"/>
  <c r="AL101" i="1"/>
  <c r="BA101" i="1"/>
  <c r="L101" i="1"/>
  <c r="AI101" i="1"/>
  <c r="I101" i="1"/>
  <c r="Z101" i="1"/>
  <c r="AM101" i="1"/>
  <c r="AJ101" i="1"/>
  <c r="AQ101" i="1"/>
  <c r="AO101" i="1"/>
  <c r="AE101" i="1"/>
  <c r="AC101" i="1"/>
  <c r="U101" i="1"/>
  <c r="AF101" i="1"/>
  <c r="E101" i="1"/>
  <c r="AG101" i="1"/>
  <c r="AY101" i="1"/>
  <c r="AD101" i="1"/>
  <c r="AV101" i="1"/>
  <c r="R101" i="1"/>
  <c r="J101" i="1"/>
  <c r="X101" i="1"/>
  <c r="P101" i="1"/>
  <c r="AU101" i="1"/>
  <c r="AX101" i="1"/>
  <c r="AP101" i="1"/>
  <c r="V101" i="1"/>
  <c r="AB101" i="1"/>
  <c r="C101" i="1"/>
  <c r="M101" i="1"/>
  <c r="AZ101" i="1"/>
  <c r="G101" i="1"/>
  <c r="AN101" i="1"/>
  <c r="K101" i="1"/>
  <c r="AS101" i="1"/>
  <c r="AK101" i="1"/>
  <c r="F101" i="1"/>
  <c r="Y101" i="1"/>
  <c r="Q101" i="1"/>
  <c r="AR101" i="1"/>
  <c r="AW101" i="1"/>
  <c r="AC66" i="1"/>
  <c r="AN66" i="1"/>
  <c r="H66" i="1"/>
  <c r="AJ66" i="1"/>
  <c r="AD66" i="1"/>
  <c r="J66" i="1"/>
  <c r="P66" i="1"/>
  <c r="Q66" i="1"/>
  <c r="Y66" i="1"/>
  <c r="AT66" i="1"/>
  <c r="AE66" i="1"/>
  <c r="N66" i="1"/>
  <c r="V66" i="1"/>
  <c r="E66" i="1"/>
  <c r="AL66" i="1"/>
  <c r="D66" i="1"/>
  <c r="AX66" i="1"/>
  <c r="AK66" i="1"/>
  <c r="F66" i="1"/>
  <c r="I66" i="1"/>
  <c r="U66" i="1"/>
  <c r="Z66" i="1"/>
  <c r="AR66" i="1"/>
  <c r="AF66" i="1"/>
  <c r="AB66" i="1"/>
  <c r="AZ66" i="1"/>
  <c r="AP66" i="1"/>
  <c r="R66" i="1"/>
  <c r="AG66" i="1"/>
  <c r="BA66" i="1"/>
  <c r="AO66" i="1"/>
  <c r="AW66" i="1"/>
  <c r="T66" i="1"/>
  <c r="L66" i="1"/>
  <c r="AV66" i="1"/>
  <c r="AY66" i="1"/>
  <c r="W66" i="1"/>
  <c r="AS66" i="1"/>
  <c r="O66" i="1"/>
  <c r="AU66" i="1"/>
  <c r="K66" i="1"/>
  <c r="C66" i="1"/>
  <c r="AM66" i="1"/>
  <c r="X66" i="1"/>
  <c r="AH66" i="1"/>
  <c r="AA66" i="1"/>
  <c r="S66" i="1"/>
  <c r="AI66" i="1"/>
  <c r="M66" i="1"/>
  <c r="AQ66" i="1"/>
  <c r="G66" i="1"/>
  <c r="Q95" i="1"/>
  <c r="AH95" i="1"/>
  <c r="AN95" i="1"/>
  <c r="U95" i="1"/>
  <c r="V95" i="1"/>
  <c r="AR95" i="1"/>
  <c r="I95" i="1"/>
  <c r="Z95" i="1"/>
  <c r="AV95" i="1"/>
  <c r="AA95" i="1"/>
  <c r="N95" i="1"/>
  <c r="T95" i="1"/>
  <c r="C95" i="1"/>
  <c r="AG95" i="1"/>
  <c r="AX95" i="1"/>
  <c r="S95" i="1"/>
  <c r="AK95" i="1"/>
  <c r="AL95" i="1"/>
  <c r="O95" i="1"/>
  <c r="Y95" i="1"/>
  <c r="AP95" i="1"/>
  <c r="AE95" i="1"/>
  <c r="M95" i="1"/>
  <c r="AD95" i="1"/>
  <c r="AJ95" i="1"/>
  <c r="AQ95" i="1"/>
  <c r="AW95" i="1"/>
  <c r="H95" i="1"/>
  <c r="G95" i="1"/>
  <c r="BA95" i="1"/>
  <c r="L95" i="1"/>
  <c r="AI95" i="1"/>
  <c r="AO95" i="1"/>
  <c r="P95" i="1"/>
  <c r="AY95" i="1"/>
  <c r="AC95" i="1"/>
  <c r="AT95" i="1"/>
  <c r="AZ95" i="1"/>
  <c r="K95" i="1"/>
  <c r="R95" i="1"/>
  <c r="X95" i="1"/>
  <c r="E95" i="1"/>
  <c r="F95" i="1"/>
  <c r="AB95" i="1"/>
  <c r="W95" i="1"/>
  <c r="J95" i="1"/>
  <c r="AF95" i="1"/>
  <c r="AM95" i="1"/>
  <c r="AS95" i="1"/>
  <c r="D95" i="1"/>
  <c r="AU95" i="1"/>
  <c r="AK96" i="1"/>
  <c r="T96" i="1"/>
  <c r="H96" i="1"/>
  <c r="Y96" i="1"/>
  <c r="Z96" i="1"/>
  <c r="F96" i="1"/>
  <c r="AS96" i="1"/>
  <c r="AZ96" i="1"/>
  <c r="AR96" i="1"/>
  <c r="AW96" i="1"/>
  <c r="AJ96" i="1"/>
  <c r="AX96" i="1"/>
  <c r="O96" i="1"/>
  <c r="BA96" i="1"/>
  <c r="AP96" i="1"/>
  <c r="C96" i="1"/>
  <c r="AO96" i="1"/>
  <c r="AU96" i="1"/>
  <c r="G96" i="1"/>
  <c r="X96" i="1"/>
  <c r="AA96" i="1"/>
  <c r="K96" i="1"/>
  <c r="AD96" i="1"/>
  <c r="D96" i="1"/>
  <c r="P96" i="1"/>
  <c r="E96" i="1"/>
  <c r="J96" i="1"/>
  <c r="N96" i="1"/>
  <c r="S96" i="1"/>
  <c r="R96" i="1"/>
  <c r="V96" i="1"/>
  <c r="M96" i="1"/>
  <c r="AT96" i="1"/>
  <c r="AV96" i="1"/>
  <c r="Q96" i="1"/>
  <c r="AY96" i="1"/>
  <c r="AF96" i="1"/>
  <c r="AH96" i="1"/>
  <c r="U96" i="1"/>
  <c r="AI96" i="1"/>
  <c r="AL96" i="1"/>
  <c r="I96" i="1"/>
  <c r="AN96" i="1"/>
  <c r="AQ96" i="1"/>
  <c r="AC96" i="1"/>
  <c r="AE96" i="1"/>
  <c r="W96" i="1"/>
  <c r="AG96" i="1"/>
  <c r="L96" i="1"/>
  <c r="AB96" i="1"/>
  <c r="AM96" i="1"/>
  <c r="AK63" i="1"/>
  <c r="U63" i="1"/>
  <c r="AQ63" i="1"/>
  <c r="AF63" i="1"/>
  <c r="AG63" i="1"/>
  <c r="AM63" i="1"/>
  <c r="P63" i="1"/>
  <c r="O63" i="1"/>
  <c r="X63" i="1"/>
  <c r="E63" i="1"/>
  <c r="AR63" i="1"/>
  <c r="L63" i="1"/>
  <c r="AW63" i="1"/>
  <c r="Q63" i="1"/>
  <c r="AB63" i="1"/>
  <c r="AO63" i="1"/>
  <c r="AV63" i="1"/>
  <c r="BA63" i="1"/>
  <c r="M63" i="1"/>
  <c r="AY63" i="1"/>
  <c r="AL63" i="1"/>
  <c r="I63" i="1"/>
  <c r="AC63" i="1"/>
  <c r="Y63" i="1"/>
  <c r="AS63" i="1"/>
  <c r="AZ63" i="1"/>
  <c r="AN63" i="1"/>
  <c r="H63" i="1"/>
  <c r="D63" i="1"/>
  <c r="AH63" i="1"/>
  <c r="AA63" i="1"/>
  <c r="J63" i="1"/>
  <c r="S63" i="1"/>
  <c r="G63" i="1"/>
  <c r="F63" i="1"/>
  <c r="AX63" i="1"/>
  <c r="Z63" i="1"/>
  <c r="AI63" i="1"/>
  <c r="N63" i="1"/>
  <c r="W63" i="1"/>
  <c r="V63" i="1"/>
  <c r="AU63" i="1"/>
  <c r="AP63" i="1"/>
  <c r="AD63" i="1"/>
  <c r="AJ63" i="1"/>
  <c r="T63" i="1"/>
  <c r="K63" i="1"/>
  <c r="AT63" i="1"/>
  <c r="AE63" i="1"/>
  <c r="C63" i="1"/>
  <c r="R63" i="1"/>
  <c r="Y129" i="1"/>
  <c r="R129" i="1"/>
  <c r="AF129" i="1"/>
  <c r="H129" i="1"/>
  <c r="W129" i="1"/>
  <c r="O129" i="1"/>
  <c r="AH129" i="1"/>
  <c r="J129" i="1"/>
  <c r="AW129" i="1"/>
  <c r="AT129" i="1"/>
  <c r="AB129" i="1"/>
  <c r="AA129" i="1"/>
  <c r="BA129" i="1"/>
  <c r="L129" i="1"/>
  <c r="AQ129" i="1"/>
  <c r="AK129" i="1"/>
  <c r="X129" i="1"/>
  <c r="AM129" i="1"/>
  <c r="Z129" i="1"/>
  <c r="AD129" i="1"/>
  <c r="G129" i="1"/>
  <c r="F129" i="1"/>
  <c r="M129" i="1"/>
  <c r="D129" i="1"/>
  <c r="AL129" i="1"/>
  <c r="AR129" i="1"/>
  <c r="T129" i="1"/>
  <c r="Q129" i="1"/>
  <c r="AG129" i="1"/>
  <c r="AV129" i="1"/>
  <c r="AE129" i="1"/>
  <c r="AX129" i="1"/>
  <c r="AP129" i="1"/>
  <c r="P129" i="1"/>
  <c r="S129" i="1"/>
  <c r="AS129" i="1"/>
  <c r="AJ129" i="1"/>
  <c r="C129" i="1"/>
  <c r="AC129" i="1"/>
  <c r="AZ129" i="1"/>
  <c r="AO129" i="1"/>
  <c r="N129" i="1"/>
  <c r="AN129" i="1"/>
  <c r="I129" i="1"/>
  <c r="AU129" i="1"/>
  <c r="AY129" i="1"/>
  <c r="V129" i="1"/>
  <c r="U129" i="1"/>
  <c r="AI129" i="1"/>
  <c r="K129" i="1"/>
  <c r="E129" i="1"/>
  <c r="AJ94" i="1"/>
  <c r="AK94" i="1"/>
  <c r="AQ94" i="1"/>
  <c r="H94" i="1"/>
  <c r="Y94" i="1"/>
  <c r="AU94" i="1"/>
  <c r="AB94" i="1"/>
  <c r="AS94" i="1"/>
  <c r="AY94" i="1"/>
  <c r="N94" i="1"/>
  <c r="Q94" i="1"/>
  <c r="W94" i="1"/>
  <c r="AD94" i="1"/>
  <c r="AZ94" i="1"/>
  <c r="BA94" i="1"/>
  <c r="AX94" i="1"/>
  <c r="X94" i="1"/>
  <c r="AO94" i="1"/>
  <c r="V94" i="1"/>
  <c r="AR94" i="1"/>
  <c r="C94" i="1"/>
  <c r="R94" i="1"/>
  <c r="P94" i="1"/>
  <c r="AG94" i="1"/>
  <c r="AM94" i="1"/>
  <c r="D94" i="1"/>
  <c r="E94" i="1"/>
  <c r="K94" i="1"/>
  <c r="F94" i="1"/>
  <c r="AN94" i="1"/>
  <c r="O94" i="1"/>
  <c r="J94" i="1"/>
  <c r="M94" i="1"/>
  <c r="S94" i="1"/>
  <c r="AL94" i="1"/>
  <c r="AF94" i="1"/>
  <c r="AW94" i="1"/>
  <c r="AH94" i="1"/>
  <c r="T94" i="1"/>
  <c r="U94" i="1"/>
  <c r="AA94" i="1"/>
  <c r="AT94" i="1"/>
  <c r="I94" i="1"/>
  <c r="AE94" i="1"/>
  <c r="L94" i="1"/>
  <c r="AC94" i="1"/>
  <c r="AI94" i="1"/>
  <c r="Z94" i="1"/>
  <c r="AV94" i="1"/>
  <c r="G94" i="1"/>
  <c r="AP94" i="1"/>
  <c r="Z45" i="1"/>
  <c r="Z161" i="1" s="1"/>
  <c r="AO45" i="1"/>
  <c r="AO161" i="1" s="1"/>
  <c r="AG45" i="1"/>
  <c r="AG161" i="1" s="1"/>
  <c r="Y45" i="1"/>
  <c r="AB45" i="1"/>
  <c r="AB161" i="1" s="1"/>
  <c r="AE45" i="1"/>
  <c r="AE161" i="1" s="1"/>
  <c r="H45" i="1"/>
  <c r="H161" i="1" s="1"/>
  <c r="AU45" i="1"/>
  <c r="AU161" i="1" s="1"/>
  <c r="O45" i="1"/>
  <c r="Q45" i="1"/>
  <c r="Q161" i="1" s="1"/>
  <c r="AX45" i="1"/>
  <c r="AX161" i="1" s="1"/>
  <c r="F45" i="1"/>
  <c r="F161" i="1" s="1"/>
  <c r="M45" i="1"/>
  <c r="AW45" i="1"/>
  <c r="AW161" i="1" s="1"/>
  <c r="AP45" i="1"/>
  <c r="AP161" i="1" s="1"/>
  <c r="AS45" i="1"/>
  <c r="AS161" i="1" s="1"/>
  <c r="C45" i="1"/>
  <c r="AJ45" i="1"/>
  <c r="AZ45" i="1"/>
  <c r="AZ161" i="1" s="1"/>
  <c r="L45" i="1"/>
  <c r="L161" i="1" s="1"/>
  <c r="W45" i="1"/>
  <c r="W161" i="1" s="1"/>
  <c r="G45" i="1"/>
  <c r="G161" i="1" s="1"/>
  <c r="K45" i="1"/>
  <c r="K161" i="1" s="1"/>
  <c r="AL45" i="1"/>
  <c r="AL161" i="1" s="1"/>
  <c r="AD45" i="1"/>
  <c r="P45" i="1"/>
  <c r="P161" i="1" s="1"/>
  <c r="J45" i="1"/>
  <c r="J161" i="1" s="1"/>
  <c r="AT45" i="1"/>
  <c r="AT161" i="1" s="1"/>
  <c r="I45" i="1"/>
  <c r="I161" i="1" s="1"/>
  <c r="N45" i="1"/>
  <c r="N161" i="1" s="1"/>
  <c r="AF45" i="1"/>
  <c r="AF161" i="1" s="1"/>
  <c r="U45" i="1"/>
  <c r="S45" i="1"/>
  <c r="AR45" i="1"/>
  <c r="AY45" i="1"/>
  <c r="AY161" i="1" s="1"/>
  <c r="X45" i="1"/>
  <c r="X161" i="1" s="1"/>
  <c r="AA45" i="1"/>
  <c r="R45" i="1"/>
  <c r="R161" i="1" s="1"/>
  <c r="AV45" i="1"/>
  <c r="AV161" i="1" s="1"/>
  <c r="AI45" i="1"/>
  <c r="AI161" i="1" s="1"/>
  <c r="AK45" i="1"/>
  <c r="AK161" i="1" s="1"/>
  <c r="D45" i="1"/>
  <c r="D161" i="1" s="1"/>
  <c r="AM45" i="1"/>
  <c r="AM161" i="1" s="1"/>
  <c r="AQ45" i="1"/>
  <c r="AQ161" i="1" s="1"/>
  <c r="AH45" i="1"/>
  <c r="AH161" i="1" s="1"/>
  <c r="E45" i="1"/>
  <c r="E161" i="1" s="1"/>
  <c r="V45" i="1"/>
  <c r="V161" i="1" s="1"/>
  <c r="AC45" i="1"/>
  <c r="AC161" i="1" s="1"/>
  <c r="BA45" i="1"/>
  <c r="T45" i="1"/>
  <c r="T161" i="1" s="1"/>
  <c r="AN45" i="1"/>
  <c r="AN161" i="1" s="1"/>
  <c r="Q53" i="1"/>
  <c r="AM53" i="1"/>
  <c r="AH53" i="1"/>
  <c r="V53" i="1"/>
  <c r="AI53" i="1"/>
  <c r="AT53" i="1"/>
  <c r="M53" i="1"/>
  <c r="T53" i="1"/>
  <c r="L53" i="1"/>
  <c r="BA53" i="1"/>
  <c r="AD53" i="1"/>
  <c r="AN53" i="1"/>
  <c r="AO53" i="1"/>
  <c r="J53" i="1"/>
  <c r="AX53" i="1"/>
  <c r="O53" i="1"/>
  <c r="AF53" i="1"/>
  <c r="AL53" i="1"/>
  <c r="AY53" i="1"/>
  <c r="Y53" i="1"/>
  <c r="N53" i="1"/>
  <c r="AA53" i="1"/>
  <c r="AB53" i="1"/>
  <c r="E53" i="1"/>
  <c r="AR53" i="1"/>
  <c r="AS53" i="1"/>
  <c r="Z53" i="1"/>
  <c r="G53" i="1"/>
  <c r="P53" i="1"/>
  <c r="AC53" i="1"/>
  <c r="AE53" i="1"/>
  <c r="I53" i="1"/>
  <c r="C53" i="1"/>
  <c r="AZ53" i="1"/>
  <c r="AQ53" i="1"/>
  <c r="AJ53" i="1"/>
  <c r="H53" i="1"/>
  <c r="U53" i="1"/>
  <c r="AW53" i="1"/>
  <c r="AG53" i="1"/>
  <c r="AK53" i="1"/>
  <c r="D53" i="1"/>
  <c r="AV53" i="1"/>
  <c r="AP53" i="1"/>
  <c r="W53" i="1"/>
  <c r="X53" i="1"/>
  <c r="R53" i="1"/>
  <c r="AU53" i="1"/>
  <c r="F53" i="1"/>
  <c r="S53" i="1"/>
  <c r="K53" i="1"/>
  <c r="AM121" i="1"/>
  <c r="C121" i="1"/>
  <c r="F121" i="1"/>
  <c r="AN121" i="1"/>
  <c r="K121" i="1"/>
  <c r="AB121" i="1"/>
  <c r="Q121" i="1"/>
  <c r="AF121" i="1"/>
  <c r="AP121" i="1"/>
  <c r="AX121" i="1"/>
  <c r="Z121" i="1"/>
  <c r="AH121" i="1"/>
  <c r="D121" i="1"/>
  <c r="R121" i="1"/>
  <c r="AO121" i="1"/>
  <c r="AA121" i="1"/>
  <c r="N121" i="1"/>
  <c r="AE121" i="1"/>
  <c r="AR121" i="1"/>
  <c r="AI121" i="1"/>
  <c r="AV121" i="1"/>
  <c r="AC121" i="1"/>
  <c r="AK121" i="1"/>
  <c r="I121" i="1"/>
  <c r="S121" i="1"/>
  <c r="T121" i="1"/>
  <c r="AJ121" i="1"/>
  <c r="H121" i="1"/>
  <c r="AQ121" i="1"/>
  <c r="AW121" i="1"/>
  <c r="AU121" i="1"/>
  <c r="Y121" i="1"/>
  <c r="AY121" i="1"/>
  <c r="AG121" i="1"/>
  <c r="AL121" i="1"/>
  <c r="J121" i="1"/>
  <c r="AS121" i="1"/>
  <c r="BA121" i="1"/>
  <c r="V121" i="1"/>
  <c r="AZ121" i="1"/>
  <c r="X121" i="1"/>
  <c r="W121" i="1"/>
  <c r="L121" i="1"/>
  <c r="G121" i="1"/>
  <c r="P121" i="1"/>
  <c r="M121" i="1"/>
  <c r="E121" i="1"/>
  <c r="O121" i="1"/>
  <c r="AT121" i="1"/>
  <c r="U121" i="1"/>
  <c r="AD121" i="1"/>
  <c r="W43" i="1"/>
  <c r="AW43" i="1"/>
  <c r="AQ43" i="1"/>
  <c r="AM43" i="1"/>
  <c r="AM159" i="1" s="1"/>
  <c r="AG43" i="1"/>
  <c r="AN43" i="1"/>
  <c r="AF43" i="1"/>
  <c r="D43" i="1"/>
  <c r="N43" i="1"/>
  <c r="N159" i="1" s="1"/>
  <c r="BA43" i="1"/>
  <c r="BA159" i="1" s="1"/>
  <c r="U43" i="1"/>
  <c r="AR43" i="1"/>
  <c r="AR159" i="1" s="1"/>
  <c r="G43" i="1"/>
  <c r="AB43" i="1"/>
  <c r="Q43" i="1"/>
  <c r="Q159" i="1" s="1"/>
  <c r="AJ43" i="1"/>
  <c r="AJ159" i="1" s="1"/>
  <c r="AT43" i="1"/>
  <c r="L43" i="1"/>
  <c r="L159" i="1" s="1"/>
  <c r="O43" i="1"/>
  <c r="E43" i="1"/>
  <c r="E159" i="1" s="1"/>
  <c r="AA43" i="1"/>
  <c r="AZ43" i="1"/>
  <c r="Z43" i="1"/>
  <c r="AI43" i="1"/>
  <c r="AI159" i="1" s="1"/>
  <c r="T43" i="1"/>
  <c r="T159" i="1" s="1"/>
  <c r="P43" i="1"/>
  <c r="AX43" i="1"/>
  <c r="C43" i="1"/>
  <c r="AL43" i="1"/>
  <c r="AL159" i="1" s="1"/>
  <c r="AY43" i="1"/>
  <c r="AU43" i="1"/>
  <c r="AU159" i="1" s="1"/>
  <c r="AE43" i="1"/>
  <c r="AE159" i="1" s="1"/>
  <c r="AP43" i="1"/>
  <c r="M43" i="1"/>
  <c r="M159" i="1" s="1"/>
  <c r="I43" i="1"/>
  <c r="K43" i="1"/>
  <c r="AD43" i="1"/>
  <c r="Y43" i="1"/>
  <c r="Y159" i="1" s="1"/>
  <c r="AK43" i="1"/>
  <c r="AK159" i="1" s="1"/>
  <c r="R43" i="1"/>
  <c r="R159" i="1" s="1"/>
  <c r="X43" i="1"/>
  <c r="V43" i="1"/>
  <c r="H43" i="1"/>
  <c r="H159" i="1" s="1"/>
  <c r="AV43" i="1"/>
  <c r="AV159" i="1" s="1"/>
  <c r="AH43" i="1"/>
  <c r="AS43" i="1"/>
  <c r="AC43" i="1"/>
  <c r="AC159" i="1" s="1"/>
  <c r="S43" i="1"/>
  <c r="S159" i="1" s="1"/>
  <c r="J43" i="1"/>
  <c r="J159" i="1" s="1"/>
  <c r="AO43" i="1"/>
  <c r="AO159" i="1" s="1"/>
  <c r="F43" i="1"/>
  <c r="AQ65" i="1"/>
  <c r="AC65" i="1"/>
  <c r="AG65" i="1"/>
  <c r="F65" i="1"/>
  <c r="V65" i="1"/>
  <c r="G65" i="1"/>
  <c r="O65" i="1"/>
  <c r="Z65" i="1"/>
  <c r="W65" i="1"/>
  <c r="AH65" i="1"/>
  <c r="AT65" i="1"/>
  <c r="AA65" i="1"/>
  <c r="AM65" i="1"/>
  <c r="I65" i="1"/>
  <c r="L65" i="1"/>
  <c r="AX65" i="1"/>
  <c r="AI65" i="1"/>
  <c r="N65" i="1"/>
  <c r="AY65" i="1"/>
  <c r="AU65" i="1"/>
  <c r="AW65" i="1"/>
  <c r="Q65" i="1"/>
  <c r="C65" i="1"/>
  <c r="AO65" i="1"/>
  <c r="S65" i="1"/>
  <c r="R65" i="1"/>
  <c r="E65" i="1"/>
  <c r="K65" i="1"/>
  <c r="Y65" i="1"/>
  <c r="AK65" i="1"/>
  <c r="M65" i="1"/>
  <c r="AS65" i="1"/>
  <c r="AD65" i="1"/>
  <c r="AL65" i="1"/>
  <c r="U65" i="1"/>
  <c r="BA65" i="1"/>
  <c r="AN65" i="1"/>
  <c r="AV65" i="1"/>
  <c r="T65" i="1"/>
  <c r="AE65" i="1"/>
  <c r="AJ65" i="1"/>
  <c r="J65" i="1"/>
  <c r="AB65" i="1"/>
  <c r="H65" i="1"/>
  <c r="P65" i="1"/>
  <c r="AZ65" i="1"/>
  <c r="AR65" i="1"/>
  <c r="X65" i="1"/>
  <c r="D65" i="1"/>
  <c r="AP65" i="1"/>
  <c r="AF65" i="1"/>
  <c r="K48" i="1"/>
  <c r="F48" i="1"/>
  <c r="O48" i="1"/>
  <c r="T48" i="1"/>
  <c r="M48" i="1"/>
  <c r="L48" i="1"/>
  <c r="AM48" i="1"/>
  <c r="AX48" i="1"/>
  <c r="X48" i="1"/>
  <c r="C48" i="1"/>
  <c r="AT48" i="1"/>
  <c r="U48" i="1"/>
  <c r="E48" i="1"/>
  <c r="Y48" i="1"/>
  <c r="AW48" i="1"/>
  <c r="AJ48" i="1"/>
  <c r="P48" i="1"/>
  <c r="J48" i="1"/>
  <c r="AU48" i="1"/>
  <c r="AV48" i="1"/>
  <c r="V48" i="1"/>
  <c r="W48" i="1"/>
  <c r="AH48" i="1"/>
  <c r="H48" i="1"/>
  <c r="AY48" i="1"/>
  <c r="AD48" i="1"/>
  <c r="I48" i="1"/>
  <c r="AG48" i="1"/>
  <c r="AA48" i="1"/>
  <c r="G48" i="1"/>
  <c r="AE48" i="1"/>
  <c r="D48" i="1"/>
  <c r="AQ48" i="1"/>
  <c r="AC48" i="1"/>
  <c r="AP48" i="1"/>
  <c r="AF48" i="1"/>
  <c r="R48" i="1"/>
  <c r="AI48" i="1"/>
  <c r="N48" i="1"/>
  <c r="AL48" i="1"/>
  <c r="AN48" i="1"/>
  <c r="AS48" i="1"/>
  <c r="BA48" i="1"/>
  <c r="Q48" i="1"/>
  <c r="Z48" i="1"/>
  <c r="AZ48" i="1"/>
  <c r="AK48" i="1"/>
  <c r="AO48" i="1"/>
  <c r="AR48" i="1"/>
  <c r="AB48" i="1"/>
  <c r="S48" i="1"/>
  <c r="AD120" i="1"/>
  <c r="C120" i="1"/>
  <c r="AO120" i="1"/>
  <c r="D120" i="1"/>
  <c r="AS120" i="1"/>
  <c r="AN120" i="1"/>
  <c r="AB120" i="1"/>
  <c r="O120" i="1"/>
  <c r="F120" i="1"/>
  <c r="S120" i="1"/>
  <c r="Z120" i="1"/>
  <c r="P120" i="1"/>
  <c r="AJ120" i="1"/>
  <c r="T120" i="1"/>
  <c r="J120" i="1"/>
  <c r="U120" i="1"/>
  <c r="AV120" i="1"/>
  <c r="H120" i="1"/>
  <c r="AU120" i="1"/>
  <c r="I120" i="1"/>
  <c r="AH120" i="1"/>
  <c r="V120" i="1"/>
  <c r="AF120" i="1"/>
  <c r="AK120" i="1"/>
  <c r="Q120" i="1"/>
  <c r="AC120" i="1"/>
  <c r="W120" i="1"/>
  <c r="AA120" i="1"/>
  <c r="AT120" i="1"/>
  <c r="AL120" i="1"/>
  <c r="AR120" i="1"/>
  <c r="AY120" i="1"/>
  <c r="AX120" i="1"/>
  <c r="E120" i="1"/>
  <c r="BA120" i="1"/>
  <c r="AW120" i="1"/>
  <c r="AE120" i="1"/>
  <c r="G120" i="1"/>
  <c r="N120" i="1"/>
  <c r="AP120" i="1"/>
  <c r="AG120" i="1"/>
  <c r="AI120" i="1"/>
  <c r="AM120" i="1"/>
  <c r="AQ120" i="1"/>
  <c r="M120" i="1"/>
  <c r="K120" i="1"/>
  <c r="Y120" i="1"/>
  <c r="AZ120" i="1"/>
  <c r="L120" i="1"/>
  <c r="R120" i="1"/>
  <c r="X120" i="1"/>
  <c r="C61" i="1"/>
  <c r="C177" i="1" s="1"/>
  <c r="AY61" i="1"/>
  <c r="AY177" i="1" s="1"/>
  <c r="AD61" i="1"/>
  <c r="AD177" i="1" s="1"/>
  <c r="AQ61" i="1"/>
  <c r="S61" i="1"/>
  <c r="S177" i="1" s="1"/>
  <c r="AT61" i="1"/>
  <c r="AT177" i="1" s="1"/>
  <c r="AI61" i="1"/>
  <c r="AI177" i="1" s="1"/>
  <c r="K61" i="1"/>
  <c r="N61" i="1"/>
  <c r="N177" i="1" s="1"/>
  <c r="AA61" i="1"/>
  <c r="AA177" i="1" s="1"/>
  <c r="AM61" i="1"/>
  <c r="AP61" i="1"/>
  <c r="AP177" i="1" s="1"/>
  <c r="AU61" i="1"/>
  <c r="AU177" i="1" s="1"/>
  <c r="Z61" i="1"/>
  <c r="Z177" i="1" s="1"/>
  <c r="X61" i="1"/>
  <c r="X177" i="1" s="1"/>
  <c r="F61" i="1"/>
  <c r="F177" i="1" s="1"/>
  <c r="AX61" i="1"/>
  <c r="AX177" i="1" s="1"/>
  <c r="P61" i="1"/>
  <c r="P177" i="1" s="1"/>
  <c r="T61" i="1"/>
  <c r="T177" i="1" s="1"/>
  <c r="AR61" i="1"/>
  <c r="AR177" i="1" s="1"/>
  <c r="E61" i="1"/>
  <c r="I61" i="1"/>
  <c r="I177" i="1" s="1"/>
  <c r="W61" i="1"/>
  <c r="J61" i="1"/>
  <c r="J177" i="1" s="1"/>
  <c r="AE61" i="1"/>
  <c r="AE177" i="1" s="1"/>
  <c r="AH61" i="1"/>
  <c r="AH177" i="1" s="1"/>
  <c r="Y61" i="1"/>
  <c r="Y177" i="1" s="1"/>
  <c r="H61" i="1"/>
  <c r="H177" i="1" s="1"/>
  <c r="AF61" i="1"/>
  <c r="AF177" i="1" s="1"/>
  <c r="AJ61" i="1"/>
  <c r="AJ177" i="1" s="1"/>
  <c r="U61" i="1"/>
  <c r="M61" i="1"/>
  <c r="M177" i="1" s="1"/>
  <c r="Q61" i="1"/>
  <c r="Q177" i="1" s="1"/>
  <c r="G61" i="1"/>
  <c r="G177" i="1" s="1"/>
  <c r="O61" i="1"/>
  <c r="O177" i="1" s="1"/>
  <c r="AL61" i="1"/>
  <c r="AL177" i="1" s="1"/>
  <c r="AO61" i="1"/>
  <c r="AO177" i="1" s="1"/>
  <c r="R61" i="1"/>
  <c r="R177" i="1" s="1"/>
  <c r="AV61" i="1"/>
  <c r="AV177" i="1" s="1"/>
  <c r="AZ61" i="1"/>
  <c r="AZ177" i="1" s="1"/>
  <c r="AK61" i="1"/>
  <c r="AK177" i="1" s="1"/>
  <c r="AB61" i="1"/>
  <c r="AB177" i="1" s="1"/>
  <c r="AC61" i="1"/>
  <c r="AC177" i="1" s="1"/>
  <c r="AN61" i="1"/>
  <c r="AG61" i="1"/>
  <c r="D61" i="1"/>
  <c r="D177" i="1" s="1"/>
  <c r="AW61" i="1"/>
  <c r="AW177" i="1" s="1"/>
  <c r="V61" i="1"/>
  <c r="AS61" i="1"/>
  <c r="AS177" i="1" s="1"/>
  <c r="L61" i="1"/>
  <c r="L177" i="1" s="1"/>
  <c r="BA61" i="1"/>
  <c r="BA177" i="1" s="1"/>
  <c r="I114" i="1"/>
  <c r="AH114" i="1"/>
  <c r="AB114" i="1"/>
  <c r="AC114" i="1"/>
  <c r="AL114" i="1"/>
  <c r="AF114" i="1"/>
  <c r="Q114" i="1"/>
  <c r="Z114" i="1"/>
  <c r="D114" i="1"/>
  <c r="AY114" i="1"/>
  <c r="AK114" i="1"/>
  <c r="AT114" i="1"/>
  <c r="X114" i="1"/>
  <c r="Y114" i="1"/>
  <c r="AX114" i="1"/>
  <c r="AR114" i="1"/>
  <c r="AS114" i="1"/>
  <c r="C114" i="1"/>
  <c r="AE114" i="1"/>
  <c r="AG114" i="1"/>
  <c r="AP114" i="1"/>
  <c r="T114" i="1"/>
  <c r="AQ114" i="1"/>
  <c r="BA114" i="1"/>
  <c r="K114" i="1"/>
  <c r="AN114" i="1"/>
  <c r="AO114" i="1"/>
  <c r="O114" i="1"/>
  <c r="AI114" i="1"/>
  <c r="F114" i="1"/>
  <c r="S114" i="1"/>
  <c r="AV114" i="1"/>
  <c r="AW114" i="1"/>
  <c r="G114" i="1"/>
  <c r="AJ114" i="1"/>
  <c r="E114" i="1"/>
  <c r="N114" i="1"/>
  <c r="AA114" i="1"/>
  <c r="AZ114" i="1"/>
  <c r="R114" i="1"/>
  <c r="L114" i="1"/>
  <c r="M114" i="1"/>
  <c r="V114" i="1"/>
  <c r="P114" i="1"/>
  <c r="AM114" i="1"/>
  <c r="J114" i="1"/>
  <c r="W114" i="1"/>
  <c r="AU114" i="1"/>
  <c r="U114" i="1"/>
  <c r="AD114" i="1"/>
  <c r="H114" i="1"/>
  <c r="AR70" i="1"/>
  <c r="AV70" i="1"/>
  <c r="AJ70" i="1"/>
  <c r="U70" i="1"/>
  <c r="Z70" i="1"/>
  <c r="AX70" i="1"/>
  <c r="AH70" i="1"/>
  <c r="L70" i="1"/>
  <c r="Y70" i="1"/>
  <c r="P70" i="1"/>
  <c r="D70" i="1"/>
  <c r="Q70" i="1"/>
  <c r="R70" i="1"/>
  <c r="AB70" i="1"/>
  <c r="AO70" i="1"/>
  <c r="AF70" i="1"/>
  <c r="T70" i="1"/>
  <c r="AK70" i="1"/>
  <c r="S70" i="1"/>
  <c r="X70" i="1"/>
  <c r="AC70" i="1"/>
  <c r="M70" i="1"/>
  <c r="AU70" i="1"/>
  <c r="AG70" i="1"/>
  <c r="K70" i="1"/>
  <c r="BA70" i="1"/>
  <c r="AM70" i="1"/>
  <c r="J70" i="1"/>
  <c r="AQ70" i="1"/>
  <c r="W70" i="1"/>
  <c r="H70" i="1"/>
  <c r="AS70" i="1"/>
  <c r="AI70" i="1"/>
  <c r="AW70" i="1"/>
  <c r="AN70" i="1"/>
  <c r="AE70" i="1"/>
  <c r="I70" i="1"/>
  <c r="AZ70" i="1"/>
  <c r="AY70" i="1"/>
  <c r="G70" i="1"/>
  <c r="AP70" i="1"/>
  <c r="C70" i="1"/>
  <c r="F70" i="1"/>
  <c r="E70" i="1"/>
  <c r="AA70" i="1"/>
  <c r="V70" i="1"/>
  <c r="O70" i="1"/>
  <c r="AL70" i="1"/>
  <c r="AT70" i="1"/>
  <c r="AD70" i="1"/>
  <c r="N70" i="1"/>
  <c r="E106" i="1"/>
  <c r="R106" i="1"/>
  <c r="AY106" i="1"/>
  <c r="I106" i="1"/>
  <c r="V106" i="1"/>
  <c r="AH106" i="1"/>
  <c r="H106" i="1"/>
  <c r="U106" i="1"/>
  <c r="C106" i="1"/>
  <c r="L106" i="1"/>
  <c r="Y106" i="1"/>
  <c r="G106" i="1"/>
  <c r="AL106" i="1"/>
  <c r="X106" i="1"/>
  <c r="AK106" i="1"/>
  <c r="S106" i="1"/>
  <c r="AB106" i="1"/>
  <c r="AO106" i="1"/>
  <c r="W106" i="1"/>
  <c r="AN106" i="1"/>
  <c r="BA106" i="1"/>
  <c r="AI106" i="1"/>
  <c r="AR106" i="1"/>
  <c r="F106" i="1"/>
  <c r="P106" i="1"/>
  <c r="AC106" i="1"/>
  <c r="K106" i="1"/>
  <c r="AT106" i="1"/>
  <c r="AZ106" i="1"/>
  <c r="N106" i="1"/>
  <c r="AU106" i="1"/>
  <c r="AF106" i="1"/>
  <c r="AS106" i="1"/>
  <c r="AA106" i="1"/>
  <c r="D106" i="1"/>
  <c r="Q106" i="1"/>
  <c r="AD106" i="1"/>
  <c r="AM106" i="1"/>
  <c r="AV106" i="1"/>
  <c r="J106" i="1"/>
  <c r="AQ106" i="1"/>
  <c r="T106" i="1"/>
  <c r="AG106" i="1"/>
  <c r="O106" i="1"/>
  <c r="AP106" i="1"/>
  <c r="M106" i="1"/>
  <c r="Z106" i="1"/>
  <c r="AX106" i="1"/>
  <c r="AJ106" i="1"/>
  <c r="AW106" i="1"/>
  <c r="AE106" i="1"/>
  <c r="J84" i="1"/>
  <c r="AE84" i="1"/>
  <c r="P84" i="1"/>
  <c r="O84" i="1"/>
  <c r="W84" i="1"/>
  <c r="AR84" i="1"/>
  <c r="AN84" i="1"/>
  <c r="Z84" i="1"/>
  <c r="AY84" i="1"/>
  <c r="AF84" i="1"/>
  <c r="AP84" i="1"/>
  <c r="AI84" i="1"/>
  <c r="AU84" i="1"/>
  <c r="X84" i="1"/>
  <c r="D84" i="1"/>
  <c r="AV84" i="1"/>
  <c r="L84" i="1"/>
  <c r="S84" i="1"/>
  <c r="AZ84" i="1"/>
  <c r="T84" i="1"/>
  <c r="G84" i="1"/>
  <c r="C84" i="1"/>
  <c r="AB84" i="1"/>
  <c r="H84" i="1"/>
  <c r="AJ84" i="1"/>
  <c r="AM84" i="1"/>
  <c r="U84" i="1"/>
  <c r="AL84" i="1"/>
  <c r="AA84" i="1"/>
  <c r="AX84" i="1"/>
  <c r="AT84" i="1"/>
  <c r="I84" i="1"/>
  <c r="M84" i="1"/>
  <c r="Q84" i="1"/>
  <c r="V84" i="1"/>
  <c r="E84" i="1"/>
  <c r="K84" i="1"/>
  <c r="AH84" i="1"/>
  <c r="BA84" i="1"/>
  <c r="AD84" i="1"/>
  <c r="Y84" i="1"/>
  <c r="AC84" i="1"/>
  <c r="AG84" i="1"/>
  <c r="F84" i="1"/>
  <c r="R84" i="1"/>
  <c r="N84" i="1"/>
  <c r="AO84" i="1"/>
  <c r="AS84" i="1"/>
  <c r="AW84" i="1"/>
  <c r="AQ84" i="1"/>
  <c r="AK84" i="1"/>
  <c r="U35" i="1"/>
  <c r="BA35" i="1"/>
  <c r="E35" i="1"/>
  <c r="AL35" i="1"/>
  <c r="J35" i="1"/>
  <c r="G35" i="1"/>
  <c r="H35" i="1"/>
  <c r="AX35" i="1"/>
  <c r="S35" i="1"/>
  <c r="Q35" i="1"/>
  <c r="Y35" i="1"/>
  <c r="Z35" i="1"/>
  <c r="O35" i="1"/>
  <c r="M35" i="1"/>
  <c r="AF35" i="1"/>
  <c r="AZ35" i="1"/>
  <c r="N35" i="1"/>
  <c r="AP35" i="1"/>
  <c r="W35" i="1"/>
  <c r="X35" i="1"/>
  <c r="K35" i="1"/>
  <c r="AI35" i="1"/>
  <c r="I35" i="1"/>
  <c r="AJ35" i="1"/>
  <c r="AU35" i="1"/>
  <c r="AV35" i="1"/>
  <c r="L35" i="1"/>
  <c r="AK35" i="1"/>
  <c r="AD35" i="1"/>
  <c r="F35" i="1"/>
  <c r="AM35" i="1"/>
  <c r="AN35" i="1"/>
  <c r="AA35" i="1"/>
  <c r="AY35" i="1"/>
  <c r="P35" i="1"/>
  <c r="AB35" i="1"/>
  <c r="AS35" i="1"/>
  <c r="AR35" i="1"/>
  <c r="AE35" i="1"/>
  <c r="AT35" i="1"/>
  <c r="V35" i="1"/>
  <c r="R35" i="1"/>
  <c r="AQ35" i="1"/>
  <c r="AH35" i="1"/>
  <c r="C35" i="1"/>
  <c r="AW35" i="1"/>
  <c r="AO35" i="1"/>
  <c r="D35" i="1"/>
  <c r="AG35" i="1"/>
  <c r="AC35" i="1"/>
  <c r="T35" i="1"/>
  <c r="I113" i="1"/>
  <c r="Z113" i="1"/>
  <c r="AI113" i="1"/>
  <c r="AR113" i="1"/>
  <c r="N113" i="1"/>
  <c r="W113" i="1"/>
  <c r="AV113" i="1"/>
  <c r="R113" i="1"/>
  <c r="AA113" i="1"/>
  <c r="AJ113" i="1"/>
  <c r="AK113" i="1"/>
  <c r="AL113" i="1"/>
  <c r="H113" i="1"/>
  <c r="Y113" i="1"/>
  <c r="AP113" i="1"/>
  <c r="AY113" i="1"/>
  <c r="M113" i="1"/>
  <c r="AD113" i="1"/>
  <c r="AM113" i="1"/>
  <c r="Q113" i="1"/>
  <c r="AH113" i="1"/>
  <c r="AQ113" i="1"/>
  <c r="AZ113" i="1"/>
  <c r="BA113" i="1"/>
  <c r="O113" i="1"/>
  <c r="X113" i="1"/>
  <c r="AO113" i="1"/>
  <c r="C113" i="1"/>
  <c r="L113" i="1"/>
  <c r="AC113" i="1"/>
  <c r="AT113" i="1"/>
  <c r="P113" i="1"/>
  <c r="AG113" i="1"/>
  <c r="AX113" i="1"/>
  <c r="D113" i="1"/>
  <c r="E113" i="1"/>
  <c r="F113" i="1"/>
  <c r="AE113" i="1"/>
  <c r="AN113" i="1"/>
  <c r="J113" i="1"/>
  <c r="S113" i="1"/>
  <c r="AB113" i="1"/>
  <c r="AS113" i="1"/>
  <c r="G113" i="1"/>
  <c r="AF113" i="1"/>
  <c r="AW113" i="1"/>
  <c r="K113" i="1"/>
  <c r="T113" i="1"/>
  <c r="U113" i="1"/>
  <c r="V113" i="1"/>
  <c r="AU113" i="1"/>
  <c r="AL49" i="1"/>
  <c r="AL165" i="1" s="1"/>
  <c r="Z49" i="1"/>
  <c r="Z165" i="1" s="1"/>
  <c r="K49" i="1"/>
  <c r="K165" i="1" s="1"/>
  <c r="AY49" i="1"/>
  <c r="AC49" i="1"/>
  <c r="AC165" i="1" s="1"/>
  <c r="C49" i="1"/>
  <c r="C165" i="1" s="1"/>
  <c r="G49" i="1"/>
  <c r="AD49" i="1"/>
  <c r="AD165" i="1" s="1"/>
  <c r="F49" i="1"/>
  <c r="F165" i="1" s="1"/>
  <c r="AR49" i="1"/>
  <c r="AR165" i="1" s="1"/>
  <c r="AZ49" i="1"/>
  <c r="AZ165" i="1" s="1"/>
  <c r="AI49" i="1"/>
  <c r="AP49" i="1"/>
  <c r="AP165" i="1" s="1"/>
  <c r="R49" i="1"/>
  <c r="R165" i="1" s="1"/>
  <c r="AA49" i="1"/>
  <c r="AA165" i="1" s="1"/>
  <c r="W49" i="1"/>
  <c r="W165" i="1" s="1"/>
  <c r="I49" i="1"/>
  <c r="I165" i="1" s="1"/>
  <c r="J49" i="1"/>
  <c r="AF49" i="1"/>
  <c r="AK49" i="1"/>
  <c r="AK165" i="1" s="1"/>
  <c r="AN49" i="1"/>
  <c r="AN165" i="1" s="1"/>
  <c r="AB49" i="1"/>
  <c r="AB165" i="1" s="1"/>
  <c r="AJ49" i="1"/>
  <c r="AJ165" i="1" s="1"/>
  <c r="O49" i="1"/>
  <c r="O165" i="1" s="1"/>
  <c r="U49" i="1"/>
  <c r="U165" i="1" s="1"/>
  <c r="V49" i="1"/>
  <c r="V165" i="1" s="1"/>
  <c r="AG49" i="1"/>
  <c r="AG165" i="1" s="1"/>
  <c r="AT49" i="1"/>
  <c r="AT165" i="1" s="1"/>
  <c r="S49" i="1"/>
  <c r="S165" i="1" s="1"/>
  <c r="AM49" i="1"/>
  <c r="AM165" i="1" s="1"/>
  <c r="BA49" i="1"/>
  <c r="BA165" i="1" s="1"/>
  <c r="AE49" i="1"/>
  <c r="AE165" i="1" s="1"/>
  <c r="AQ49" i="1"/>
  <c r="AQ165" i="1" s="1"/>
  <c r="N49" i="1"/>
  <c r="Y49" i="1"/>
  <c r="Y165" i="1" s="1"/>
  <c r="AO49" i="1"/>
  <c r="AO165" i="1" s="1"/>
  <c r="AV49" i="1"/>
  <c r="AV165" i="1" s="1"/>
  <c r="X49" i="1"/>
  <c r="X165" i="1" s="1"/>
  <c r="H49" i="1"/>
  <c r="P49" i="1"/>
  <c r="P165" i="1" s="1"/>
  <c r="M49" i="1"/>
  <c r="M165" i="1" s="1"/>
  <c r="E49" i="1"/>
  <c r="D49" i="1"/>
  <c r="D165" i="1" s="1"/>
  <c r="AH49" i="1"/>
  <c r="AH165" i="1" s="1"/>
  <c r="AS49" i="1"/>
  <c r="AS165" i="1" s="1"/>
  <c r="Q49" i="1"/>
  <c r="L49" i="1"/>
  <c r="AX49" i="1"/>
  <c r="AX165" i="1" s="1"/>
  <c r="AU49" i="1"/>
  <c r="AU165" i="1" s="1"/>
  <c r="AW49" i="1"/>
  <c r="AW165" i="1" s="1"/>
  <c r="T49" i="1"/>
  <c r="T165" i="1" s="1"/>
  <c r="AW55" i="1"/>
  <c r="AI55" i="1"/>
  <c r="H55" i="1"/>
  <c r="H171" i="1" s="1"/>
  <c r="AB55" i="1"/>
  <c r="AB171" i="1" s="1"/>
  <c r="AN55" i="1"/>
  <c r="AN171" i="1" s="1"/>
  <c r="AT55" i="1"/>
  <c r="C55" i="1"/>
  <c r="Q55" i="1"/>
  <c r="BA55" i="1"/>
  <c r="AM55" i="1"/>
  <c r="Y55" i="1"/>
  <c r="AX55" i="1"/>
  <c r="AX171" i="1" s="1"/>
  <c r="K55" i="1"/>
  <c r="K171" i="1" s="1"/>
  <c r="P55" i="1"/>
  <c r="P171" i="1" s="1"/>
  <c r="W55" i="1"/>
  <c r="AO55" i="1"/>
  <c r="Z55" i="1"/>
  <c r="I55" i="1"/>
  <c r="L55" i="1"/>
  <c r="L171" i="1" s="1"/>
  <c r="N55" i="1"/>
  <c r="AU55" i="1"/>
  <c r="AU171" i="1" s="1"/>
  <c r="AA55" i="1"/>
  <c r="AC55" i="1"/>
  <c r="AQ55" i="1"/>
  <c r="AQ171" i="1" s="1"/>
  <c r="AS55" i="1"/>
  <c r="AS171" i="1" s="1"/>
  <c r="T55" i="1"/>
  <c r="T171" i="1" s="1"/>
  <c r="AE55" i="1"/>
  <c r="S55" i="1"/>
  <c r="AJ55" i="1"/>
  <c r="AK55" i="1"/>
  <c r="U55" i="1"/>
  <c r="U171" i="1" s="1"/>
  <c r="AV55" i="1"/>
  <c r="E55" i="1"/>
  <c r="D55" i="1"/>
  <c r="AP55" i="1"/>
  <c r="AD55" i="1"/>
  <c r="AD171" i="1" s="1"/>
  <c r="R55" i="1"/>
  <c r="X55" i="1"/>
  <c r="F55" i="1"/>
  <c r="F171" i="1" s="1"/>
  <c r="AZ55" i="1"/>
  <c r="AF55" i="1"/>
  <c r="V55" i="1"/>
  <c r="J55" i="1"/>
  <c r="AY55" i="1"/>
  <c r="G55" i="1"/>
  <c r="O55" i="1"/>
  <c r="AR55" i="1"/>
  <c r="AL55" i="1"/>
  <c r="M55" i="1"/>
  <c r="AH55" i="1"/>
  <c r="AG55" i="1"/>
  <c r="AG171" i="1" s="1"/>
  <c r="AQ47" i="1"/>
  <c r="AQ163" i="1" s="1"/>
  <c r="L47" i="1"/>
  <c r="AI47" i="1"/>
  <c r="AI163" i="1" s="1"/>
  <c r="I47" i="1"/>
  <c r="I163" i="1" s="1"/>
  <c r="AY47" i="1"/>
  <c r="AY163" i="1" s="1"/>
  <c r="AE47" i="1"/>
  <c r="AE163" i="1" s="1"/>
  <c r="X47" i="1"/>
  <c r="X163" i="1" s="1"/>
  <c r="H47" i="1"/>
  <c r="S47" i="1"/>
  <c r="S163" i="1" s="1"/>
  <c r="AM47" i="1"/>
  <c r="AM163" i="1" s="1"/>
  <c r="AX47" i="1"/>
  <c r="AX163" i="1" s="1"/>
  <c r="AL47" i="1"/>
  <c r="AL163" i="1" s="1"/>
  <c r="W47" i="1"/>
  <c r="W163" i="1" s="1"/>
  <c r="O47" i="1"/>
  <c r="U47" i="1"/>
  <c r="U163" i="1" s="1"/>
  <c r="AK47" i="1"/>
  <c r="AK163" i="1" s="1"/>
  <c r="G47" i="1"/>
  <c r="AU47" i="1"/>
  <c r="AU163" i="1" s="1"/>
  <c r="AW47" i="1"/>
  <c r="AW163" i="1" s="1"/>
  <c r="AB47" i="1"/>
  <c r="AB163" i="1" s="1"/>
  <c r="R47" i="1"/>
  <c r="V47" i="1"/>
  <c r="V163" i="1" s="1"/>
  <c r="AT47" i="1"/>
  <c r="AT163" i="1" s="1"/>
  <c r="M47" i="1"/>
  <c r="M163" i="1" s="1"/>
  <c r="P47" i="1"/>
  <c r="P163" i="1" s="1"/>
  <c r="Z47" i="1"/>
  <c r="Z163" i="1" s="1"/>
  <c r="C47" i="1"/>
  <c r="C163" i="1" s="1"/>
  <c r="T47" i="1"/>
  <c r="T163" i="1" s="1"/>
  <c r="Q47" i="1"/>
  <c r="AP47" i="1"/>
  <c r="BA47" i="1"/>
  <c r="BA163" i="1" s="1"/>
  <c r="Y47" i="1"/>
  <c r="Y163" i="1" s="1"/>
  <c r="AA47" i="1"/>
  <c r="AA163" i="1" s="1"/>
  <c r="AJ47" i="1"/>
  <c r="AJ163" i="1" s="1"/>
  <c r="K47" i="1"/>
  <c r="K163" i="1" s="1"/>
  <c r="AC47" i="1"/>
  <c r="AC163" i="1" s="1"/>
  <c r="AO47" i="1"/>
  <c r="J47" i="1"/>
  <c r="J163" i="1" s="1"/>
  <c r="AS47" i="1"/>
  <c r="AS163" i="1" s="1"/>
  <c r="AF47" i="1"/>
  <c r="AF163" i="1" s="1"/>
  <c r="AH47" i="1"/>
  <c r="AH163" i="1" s="1"/>
  <c r="AD47" i="1"/>
  <c r="AD163" i="1" s="1"/>
  <c r="AV47" i="1"/>
  <c r="AV163" i="1" s="1"/>
  <c r="AZ47" i="1"/>
  <c r="AZ163" i="1" s="1"/>
  <c r="AN47" i="1"/>
  <c r="AN163" i="1" s="1"/>
  <c r="AR47" i="1"/>
  <c r="AR163" i="1" s="1"/>
  <c r="N47" i="1"/>
  <c r="N163" i="1" s="1"/>
  <c r="E47" i="1"/>
  <c r="D47" i="1"/>
  <c r="AG47" i="1"/>
  <c r="AG163" i="1" s="1"/>
  <c r="F47" i="1"/>
  <c r="F163" i="1" s="1"/>
  <c r="AB122" i="1"/>
  <c r="AW122" i="1"/>
  <c r="AV122" i="1"/>
  <c r="BA122" i="1"/>
  <c r="AJ122" i="1"/>
  <c r="AO122" i="1"/>
  <c r="AS122" i="1"/>
  <c r="N122" i="1"/>
  <c r="AP122" i="1"/>
  <c r="M122" i="1"/>
  <c r="R122" i="1"/>
  <c r="X122" i="1"/>
  <c r="S122" i="1"/>
  <c r="AR122" i="1"/>
  <c r="V122" i="1"/>
  <c r="E122" i="1"/>
  <c r="AD122" i="1"/>
  <c r="AZ122" i="1"/>
  <c r="F122" i="1"/>
  <c r="AE122" i="1"/>
  <c r="G122" i="1"/>
  <c r="C122" i="1"/>
  <c r="AT122" i="1"/>
  <c r="AX122" i="1"/>
  <c r="AC122" i="1"/>
  <c r="AY122" i="1"/>
  <c r="Q122" i="1"/>
  <c r="P122" i="1"/>
  <c r="U122" i="1"/>
  <c r="D122" i="1"/>
  <c r="I122" i="1"/>
  <c r="AL122" i="1"/>
  <c r="AH122" i="1"/>
  <c r="AM122" i="1"/>
  <c r="AI122" i="1"/>
  <c r="O122" i="1"/>
  <c r="K122" i="1"/>
  <c r="W122" i="1"/>
  <c r="L122" i="1"/>
  <c r="AG122" i="1"/>
  <c r="AF122" i="1"/>
  <c r="AK122" i="1"/>
  <c r="T122" i="1"/>
  <c r="Y122" i="1"/>
  <c r="AN122" i="1"/>
  <c r="AA122" i="1"/>
  <c r="J122" i="1"/>
  <c r="H122" i="1"/>
  <c r="AU122" i="1"/>
  <c r="AQ122" i="1"/>
  <c r="Z122" i="1"/>
  <c r="AH111" i="1"/>
  <c r="AI111" i="1"/>
  <c r="AN111" i="1"/>
  <c r="F111" i="1"/>
  <c r="W111" i="1"/>
  <c r="AR111" i="1"/>
  <c r="J111" i="1"/>
  <c r="AA111" i="1"/>
  <c r="AV111" i="1"/>
  <c r="BA111" i="1"/>
  <c r="O111" i="1"/>
  <c r="T111" i="1"/>
  <c r="Y111" i="1"/>
  <c r="AX111" i="1"/>
  <c r="AY111" i="1"/>
  <c r="M111" i="1"/>
  <c r="V111" i="1"/>
  <c r="AM111" i="1"/>
  <c r="Q111" i="1"/>
  <c r="Z111" i="1"/>
  <c r="AQ111" i="1"/>
  <c r="E111" i="1"/>
  <c r="N111" i="1"/>
  <c r="AE111" i="1"/>
  <c r="AJ111" i="1"/>
  <c r="AO111" i="1"/>
  <c r="C111" i="1"/>
  <c r="H111" i="1"/>
  <c r="AC111" i="1"/>
  <c r="AL111" i="1"/>
  <c r="L111" i="1"/>
  <c r="AG111" i="1"/>
  <c r="AP111" i="1"/>
  <c r="P111" i="1"/>
  <c r="U111" i="1"/>
  <c r="AD111" i="1"/>
  <c r="AU111" i="1"/>
  <c r="AZ111" i="1"/>
  <c r="R111" i="1"/>
  <c r="S111" i="1"/>
  <c r="X111" i="1"/>
  <c r="AS111" i="1"/>
  <c r="G111" i="1"/>
  <c r="AB111" i="1"/>
  <c r="AW111" i="1"/>
  <c r="K111" i="1"/>
  <c r="AF111" i="1"/>
  <c r="AK111" i="1"/>
  <c r="AT111" i="1"/>
  <c r="D111" i="1"/>
  <c r="I111" i="1"/>
  <c r="E142" i="1"/>
  <c r="K142" i="1"/>
  <c r="AU142" i="1"/>
  <c r="U142" i="1"/>
  <c r="AC142" i="1"/>
  <c r="AP142" i="1"/>
  <c r="AQ142" i="1"/>
  <c r="AY142" i="1"/>
  <c r="AH142" i="1"/>
  <c r="M142" i="1"/>
  <c r="G142" i="1"/>
  <c r="AG142" i="1"/>
  <c r="Z142" i="1"/>
  <c r="H142" i="1"/>
  <c r="AJ142" i="1"/>
  <c r="AR142" i="1"/>
  <c r="N142" i="1"/>
  <c r="S142" i="1"/>
  <c r="AK142" i="1"/>
  <c r="AX142" i="1"/>
  <c r="Y142" i="1"/>
  <c r="AL142" i="1"/>
  <c r="C142" i="1"/>
  <c r="P142" i="1"/>
  <c r="W142" i="1"/>
  <c r="AW142" i="1"/>
  <c r="X142" i="1"/>
  <c r="AD142" i="1"/>
  <c r="AV142" i="1"/>
  <c r="AA142" i="1"/>
  <c r="AS142" i="1"/>
  <c r="O142" i="1"/>
  <c r="AO142" i="1"/>
  <c r="AF142" i="1"/>
  <c r="D142" i="1"/>
  <c r="AM142" i="1"/>
  <c r="AN142" i="1"/>
  <c r="L142" i="1"/>
  <c r="F142" i="1"/>
  <c r="I142" i="1"/>
  <c r="AI142" i="1"/>
  <c r="BA142" i="1"/>
  <c r="R142" i="1"/>
  <c r="AE142" i="1"/>
  <c r="Q142" i="1"/>
  <c r="J142" i="1"/>
  <c r="AZ142" i="1"/>
  <c r="V142" i="1"/>
  <c r="AT142" i="1"/>
  <c r="AB142" i="1"/>
  <c r="T142" i="1"/>
  <c r="AP82" i="1"/>
  <c r="AP198" i="1" s="1"/>
  <c r="AJ82" i="1"/>
  <c r="AJ198" i="1" s="1"/>
  <c r="AW82" i="1"/>
  <c r="AW198" i="1" s="1"/>
  <c r="AO82" i="1"/>
  <c r="AO198" i="1" s="1"/>
  <c r="F82" i="1"/>
  <c r="F198" i="1" s="1"/>
  <c r="AH82" i="1"/>
  <c r="AH198" i="1" s="1"/>
  <c r="AG82" i="1"/>
  <c r="AG198" i="1" s="1"/>
  <c r="AT82" i="1"/>
  <c r="N82" i="1"/>
  <c r="N198" i="1" s="1"/>
  <c r="V82" i="1"/>
  <c r="V198" i="1" s="1"/>
  <c r="M82" i="1"/>
  <c r="M198" i="1" s="1"/>
  <c r="R82" i="1"/>
  <c r="R198" i="1" s="1"/>
  <c r="AD82" i="1"/>
  <c r="Y82" i="1"/>
  <c r="Y198" i="1" s="1"/>
  <c r="J82" i="1"/>
  <c r="J198" i="1" s="1"/>
  <c r="I82" i="1"/>
  <c r="AL82" i="1"/>
  <c r="AL198" i="1" s="1"/>
  <c r="AX82" i="1"/>
  <c r="AX198" i="1" s="1"/>
  <c r="T82" i="1"/>
  <c r="T198" i="1" s="1"/>
  <c r="O82" i="1"/>
  <c r="O198" i="1" s="1"/>
  <c r="AZ82" i="1"/>
  <c r="AZ198" i="1" s="1"/>
  <c r="D82" i="1"/>
  <c r="D198" i="1" s="1"/>
  <c r="AS82" i="1"/>
  <c r="AS198" i="1" s="1"/>
  <c r="Z82" i="1"/>
  <c r="Z198" i="1" s="1"/>
  <c r="AC82" i="1"/>
  <c r="AC198" i="1" s="1"/>
  <c r="Q82" i="1"/>
  <c r="Q198" i="1" s="1"/>
  <c r="AI82" i="1"/>
  <c r="AI198" i="1" s="1"/>
  <c r="W82" i="1"/>
  <c r="AA82" i="1"/>
  <c r="AF82" i="1"/>
  <c r="AF198" i="1" s="1"/>
  <c r="E82" i="1"/>
  <c r="E198" i="1" s="1"/>
  <c r="L82" i="1"/>
  <c r="L198" i="1" s="1"/>
  <c r="H82" i="1"/>
  <c r="H198" i="1" s="1"/>
  <c r="AY82" i="1"/>
  <c r="AY198" i="1" s="1"/>
  <c r="AM82" i="1"/>
  <c r="AM198" i="1" s="1"/>
  <c r="AQ82" i="1"/>
  <c r="AQ198" i="1" s="1"/>
  <c r="P82" i="1"/>
  <c r="P198" i="1" s="1"/>
  <c r="BA82" i="1"/>
  <c r="AE82" i="1"/>
  <c r="AE198" i="1" s="1"/>
  <c r="C82" i="1"/>
  <c r="AK82" i="1"/>
  <c r="AK198" i="1" s="1"/>
  <c r="AR82" i="1"/>
  <c r="AN82" i="1"/>
  <c r="AN198" i="1" s="1"/>
  <c r="S82" i="1"/>
  <c r="S198" i="1" s="1"/>
  <c r="G82" i="1"/>
  <c r="K82" i="1"/>
  <c r="K198" i="1" s="1"/>
  <c r="AV82" i="1"/>
  <c r="AV198" i="1" s="1"/>
  <c r="U82" i="1"/>
  <c r="U198" i="1" s="1"/>
  <c r="AB82" i="1"/>
  <c r="AB198" i="1" s="1"/>
  <c r="AU82" i="1"/>
  <c r="AU198" i="1" s="1"/>
  <c r="X82" i="1"/>
  <c r="X198" i="1" s="1"/>
  <c r="AC71" i="1"/>
  <c r="AC187" i="1" s="1"/>
  <c r="L71" i="1"/>
  <c r="L187" i="1" s="1"/>
  <c r="AY71" i="1"/>
  <c r="AY187" i="1" s="1"/>
  <c r="AM71" i="1"/>
  <c r="AM187" i="1" s="1"/>
  <c r="T71" i="1"/>
  <c r="T187" i="1" s="1"/>
  <c r="AV71" i="1"/>
  <c r="AV187" i="1" s="1"/>
  <c r="AK71" i="1"/>
  <c r="AK187" i="1" s="1"/>
  <c r="O71" i="1"/>
  <c r="O187" i="1" s="1"/>
  <c r="U71" i="1"/>
  <c r="Z71" i="1"/>
  <c r="Z187" i="1" s="1"/>
  <c r="AE71" i="1"/>
  <c r="AE187" i="1" s="1"/>
  <c r="AR71" i="1"/>
  <c r="AR187" i="1" s="1"/>
  <c r="S71" i="1"/>
  <c r="S187" i="1" s="1"/>
  <c r="G71" i="1"/>
  <c r="BA71" i="1"/>
  <c r="AU71" i="1"/>
  <c r="AU187" i="1" s="1"/>
  <c r="AI71" i="1"/>
  <c r="W71" i="1"/>
  <c r="V71" i="1"/>
  <c r="V187" i="1" s="1"/>
  <c r="I71" i="1"/>
  <c r="AZ71" i="1"/>
  <c r="AZ187" i="1" s="1"/>
  <c r="AO71" i="1"/>
  <c r="C71" i="1"/>
  <c r="C187" i="1" s="1"/>
  <c r="AN71" i="1"/>
  <c r="AN187" i="1" s="1"/>
  <c r="AL71" i="1"/>
  <c r="AA71" i="1"/>
  <c r="AA187" i="1" s="1"/>
  <c r="AJ71" i="1"/>
  <c r="J71" i="1"/>
  <c r="AQ71" i="1"/>
  <c r="AQ187" i="1" s="1"/>
  <c r="R71" i="1"/>
  <c r="R187" i="1" s="1"/>
  <c r="AS71" i="1"/>
  <c r="AS187" i="1" s="1"/>
  <c r="K71" i="1"/>
  <c r="K187" i="1" s="1"/>
  <c r="D71" i="1"/>
  <c r="D187" i="1" s="1"/>
  <c r="H71" i="1"/>
  <c r="H187" i="1" s="1"/>
  <c r="AD71" i="1"/>
  <c r="AD187" i="1" s="1"/>
  <c r="N71" i="1"/>
  <c r="N187" i="1" s="1"/>
  <c r="AP71" i="1"/>
  <c r="AW71" i="1"/>
  <c r="E71" i="1"/>
  <c r="E187" i="1" s="1"/>
  <c r="AG71" i="1"/>
  <c r="AG187" i="1" s="1"/>
  <c r="Q71" i="1"/>
  <c r="Q187" i="1" s="1"/>
  <c r="AB71" i="1"/>
  <c r="AB187" i="1" s="1"/>
  <c r="X71" i="1"/>
  <c r="F71" i="1"/>
  <c r="F187" i="1" s="1"/>
  <c r="AF71" i="1"/>
  <c r="AF187" i="1" s="1"/>
  <c r="AX71" i="1"/>
  <c r="AX187" i="1" s="1"/>
  <c r="Y71" i="1"/>
  <c r="AH71" i="1"/>
  <c r="AH187" i="1" s="1"/>
  <c r="M71" i="1"/>
  <c r="M187" i="1" s="1"/>
  <c r="AT71" i="1"/>
  <c r="AT187" i="1" s="1"/>
  <c r="P71" i="1"/>
  <c r="P187" i="1" s="1"/>
  <c r="AI130" i="1"/>
  <c r="AJ130" i="1"/>
  <c r="AS130" i="1"/>
  <c r="G130" i="1"/>
  <c r="X130" i="1"/>
  <c r="AW130" i="1"/>
  <c r="K130" i="1"/>
  <c r="AB130" i="1"/>
  <c r="AK130" i="1"/>
  <c r="AP130" i="1"/>
  <c r="P130" i="1"/>
  <c r="Y130" i="1"/>
  <c r="AT130" i="1"/>
  <c r="AY130" i="1"/>
  <c r="AZ130" i="1"/>
  <c r="R130" i="1"/>
  <c r="W130" i="1"/>
  <c r="AN130" i="1"/>
  <c r="F130" i="1"/>
  <c r="AA130" i="1"/>
  <c r="AR130" i="1"/>
  <c r="BA130" i="1"/>
  <c r="O130" i="1"/>
  <c r="AF130" i="1"/>
  <c r="AO130" i="1"/>
  <c r="C130" i="1"/>
  <c r="D130" i="1"/>
  <c r="M130" i="1"/>
  <c r="AH130" i="1"/>
  <c r="AM130" i="1"/>
  <c r="Q130" i="1"/>
  <c r="V130" i="1"/>
  <c r="AQ130" i="1"/>
  <c r="E130" i="1"/>
  <c r="J130" i="1"/>
  <c r="AE130" i="1"/>
  <c r="AV130" i="1"/>
  <c r="N130" i="1"/>
  <c r="S130" i="1"/>
  <c r="T130" i="1"/>
  <c r="AC130" i="1"/>
  <c r="AX130" i="1"/>
  <c r="H130" i="1"/>
  <c r="AG130" i="1"/>
  <c r="AL130" i="1"/>
  <c r="L130" i="1"/>
  <c r="U130" i="1"/>
  <c r="Z130" i="1"/>
  <c r="AU130" i="1"/>
  <c r="I130" i="1"/>
  <c r="AD130" i="1"/>
  <c r="Q79" i="1"/>
  <c r="Q195" i="1" s="1"/>
  <c r="AV79" i="1"/>
  <c r="AV195" i="1" s="1"/>
  <c r="E79" i="1"/>
  <c r="AS79" i="1"/>
  <c r="AO79" i="1"/>
  <c r="AO195" i="1" s="1"/>
  <c r="AN79" i="1"/>
  <c r="AN195" i="1" s="1"/>
  <c r="AF79" i="1"/>
  <c r="AJ79" i="1"/>
  <c r="AJ195" i="1" s="1"/>
  <c r="AG79" i="1"/>
  <c r="AG195" i="1" s="1"/>
  <c r="U79" i="1"/>
  <c r="U195" i="1" s="1"/>
  <c r="I79" i="1"/>
  <c r="I195" i="1" s="1"/>
  <c r="Y79" i="1"/>
  <c r="Y195" i="1" s="1"/>
  <c r="T79" i="1"/>
  <c r="T195" i="1" s="1"/>
  <c r="K79" i="1"/>
  <c r="K195" i="1" s="1"/>
  <c r="H79" i="1"/>
  <c r="H195" i="1" s="1"/>
  <c r="AQ79" i="1"/>
  <c r="AQ195" i="1" s="1"/>
  <c r="AW79" i="1"/>
  <c r="AW195" i="1" s="1"/>
  <c r="AK79" i="1"/>
  <c r="AK195" i="1" s="1"/>
  <c r="X79" i="1"/>
  <c r="X195" i="1" s="1"/>
  <c r="M79" i="1"/>
  <c r="M195" i="1" s="1"/>
  <c r="BA79" i="1"/>
  <c r="BA195" i="1" s="1"/>
  <c r="F79" i="1"/>
  <c r="F195" i="1" s="1"/>
  <c r="D79" i="1"/>
  <c r="AA79" i="1"/>
  <c r="AA195" i="1" s="1"/>
  <c r="AC79" i="1"/>
  <c r="P79" i="1"/>
  <c r="P195" i="1" s="1"/>
  <c r="AZ79" i="1"/>
  <c r="AZ195" i="1" s="1"/>
  <c r="AM79" i="1"/>
  <c r="AM195" i="1" s="1"/>
  <c r="AB79" i="1"/>
  <c r="AB195" i="1" s="1"/>
  <c r="AI79" i="1"/>
  <c r="AI195" i="1" s="1"/>
  <c r="AU79" i="1"/>
  <c r="AU195" i="1" s="1"/>
  <c r="V79" i="1"/>
  <c r="V195" i="1" s="1"/>
  <c r="J79" i="1"/>
  <c r="N79" i="1"/>
  <c r="N195" i="1" s="1"/>
  <c r="R79" i="1"/>
  <c r="R195" i="1" s="1"/>
  <c r="W79" i="1"/>
  <c r="W195" i="1" s="1"/>
  <c r="L79" i="1"/>
  <c r="L195" i="1" s="1"/>
  <c r="S79" i="1"/>
  <c r="S195" i="1" s="1"/>
  <c r="AE79" i="1"/>
  <c r="AE195" i="1" s="1"/>
  <c r="Z79" i="1"/>
  <c r="Z195" i="1" s="1"/>
  <c r="AD79" i="1"/>
  <c r="AD195" i="1" s="1"/>
  <c r="AH79" i="1"/>
  <c r="AH195" i="1" s="1"/>
  <c r="G79" i="1"/>
  <c r="C79" i="1"/>
  <c r="C195" i="1" s="1"/>
  <c r="AL79" i="1"/>
  <c r="AL195" i="1" s="1"/>
  <c r="O79" i="1"/>
  <c r="O195" i="1" s="1"/>
  <c r="AP79" i="1"/>
  <c r="AP195" i="1" s="1"/>
  <c r="AT79" i="1"/>
  <c r="AX79" i="1"/>
  <c r="AX195" i="1" s="1"/>
  <c r="AR79" i="1"/>
  <c r="AR195" i="1" s="1"/>
  <c r="AY79" i="1"/>
  <c r="AY195" i="1" s="1"/>
  <c r="W38" i="1"/>
  <c r="AE38" i="1"/>
  <c r="AE154" i="1" s="1"/>
  <c r="AA38" i="1"/>
  <c r="AA154" i="1" s="1"/>
  <c r="K38" i="1"/>
  <c r="K154" i="1" s="1"/>
  <c r="AB38" i="1"/>
  <c r="AB154" i="1" s="1"/>
  <c r="E38" i="1"/>
  <c r="E154" i="1" s="1"/>
  <c r="Z38" i="1"/>
  <c r="Z154" i="1" s="1"/>
  <c r="R38" i="1"/>
  <c r="R154" i="1" s="1"/>
  <c r="AL38" i="1"/>
  <c r="AL154" i="1" s="1"/>
  <c r="AR38" i="1"/>
  <c r="AR154" i="1" s="1"/>
  <c r="H38" i="1"/>
  <c r="H154" i="1" s="1"/>
  <c r="AD38" i="1"/>
  <c r="Y38" i="1"/>
  <c r="Y154" i="1" s="1"/>
  <c r="AM38" i="1"/>
  <c r="T38" i="1"/>
  <c r="T154" i="1" s="1"/>
  <c r="U38" i="1"/>
  <c r="AU38" i="1"/>
  <c r="AU154" i="1" s="1"/>
  <c r="AN38" i="1"/>
  <c r="D38" i="1"/>
  <c r="D154" i="1" s="1"/>
  <c r="M38" i="1"/>
  <c r="M154" i="1" s="1"/>
  <c r="AQ38" i="1"/>
  <c r="AQ154" i="1" s="1"/>
  <c r="X38" i="1"/>
  <c r="X154" i="1" s="1"/>
  <c r="AO38" i="1"/>
  <c r="AO154" i="1" s="1"/>
  <c r="P38" i="1"/>
  <c r="P154" i="1" s="1"/>
  <c r="V38" i="1"/>
  <c r="C38" i="1"/>
  <c r="C154" i="1" s="1"/>
  <c r="N38" i="1"/>
  <c r="N154" i="1" s="1"/>
  <c r="L38" i="1"/>
  <c r="L154" i="1" s="1"/>
  <c r="AV38" i="1"/>
  <c r="AV154" i="1" s="1"/>
  <c r="AF38" i="1"/>
  <c r="AF154" i="1" s="1"/>
  <c r="S38" i="1"/>
  <c r="S154" i="1" s="1"/>
  <c r="AJ38" i="1"/>
  <c r="BA38" i="1"/>
  <c r="BA154" i="1" s="1"/>
  <c r="AZ38" i="1"/>
  <c r="AZ154" i="1" s="1"/>
  <c r="AW38" i="1"/>
  <c r="AW154" i="1" s="1"/>
  <c r="AX38" i="1"/>
  <c r="AX154" i="1" s="1"/>
  <c r="J38" i="1"/>
  <c r="Q38" i="1"/>
  <c r="AI38" i="1"/>
  <c r="AI154" i="1" s="1"/>
  <c r="F38" i="1"/>
  <c r="F154" i="1" s="1"/>
  <c r="AS38" i="1"/>
  <c r="AT38" i="1"/>
  <c r="AT154" i="1" s="1"/>
  <c r="AC38" i="1"/>
  <c r="AC154" i="1" s="1"/>
  <c r="G38" i="1"/>
  <c r="O38" i="1"/>
  <c r="O154" i="1" s="1"/>
  <c r="AY38" i="1"/>
  <c r="AY154" i="1" s="1"/>
  <c r="AH38" i="1"/>
  <c r="AH154" i="1" s="1"/>
  <c r="AK38" i="1"/>
  <c r="AK154" i="1" s="1"/>
  <c r="AG38" i="1"/>
  <c r="AG154" i="1" s="1"/>
  <c r="AP38" i="1"/>
  <c r="I38" i="1"/>
  <c r="I154" i="1" s="1"/>
  <c r="V81" i="1"/>
  <c r="W81" i="1"/>
  <c r="W197" i="1" s="1"/>
  <c r="Z81" i="1"/>
  <c r="Z197" i="1" s="1"/>
  <c r="AG81" i="1"/>
  <c r="AG197" i="1" s="1"/>
  <c r="C81" i="1"/>
  <c r="C197" i="1" s="1"/>
  <c r="AU81" i="1"/>
  <c r="AU197" i="1" s="1"/>
  <c r="AA81" i="1"/>
  <c r="AA197" i="1" s="1"/>
  <c r="AP81" i="1"/>
  <c r="AP197" i="1" s="1"/>
  <c r="AM81" i="1"/>
  <c r="AM197" i="1" s="1"/>
  <c r="AT81" i="1"/>
  <c r="AT197" i="1" s="1"/>
  <c r="N81" i="1"/>
  <c r="S81" i="1"/>
  <c r="S197" i="1" s="1"/>
  <c r="L81" i="1"/>
  <c r="AD81" i="1"/>
  <c r="AD197" i="1" s="1"/>
  <c r="J81" i="1"/>
  <c r="J197" i="1" s="1"/>
  <c r="AL81" i="1"/>
  <c r="AL197" i="1" s="1"/>
  <c r="AI81" i="1"/>
  <c r="AI197" i="1" s="1"/>
  <c r="G81" i="1"/>
  <c r="G197" i="1" s="1"/>
  <c r="F81" i="1"/>
  <c r="AY81" i="1"/>
  <c r="AY197" i="1" s="1"/>
  <c r="AE81" i="1"/>
  <c r="AE197" i="1" s="1"/>
  <c r="O81" i="1"/>
  <c r="O197" i="1" s="1"/>
  <c r="AQ81" i="1"/>
  <c r="AQ197" i="1" s="1"/>
  <c r="K81" i="1"/>
  <c r="K197" i="1" s="1"/>
  <c r="Q81" i="1"/>
  <c r="Q197" i="1" s="1"/>
  <c r="AW81" i="1"/>
  <c r="AW197" i="1" s="1"/>
  <c r="AF81" i="1"/>
  <c r="AF197" i="1" s="1"/>
  <c r="T81" i="1"/>
  <c r="T197" i="1" s="1"/>
  <c r="H81" i="1"/>
  <c r="H197" i="1" s="1"/>
  <c r="M81" i="1"/>
  <c r="AR81" i="1"/>
  <c r="AR197" i="1" s="1"/>
  <c r="E81" i="1"/>
  <c r="E197" i="1" s="1"/>
  <c r="AV81" i="1"/>
  <c r="AV197" i="1" s="1"/>
  <c r="AJ81" i="1"/>
  <c r="AJ197" i="1" s="1"/>
  <c r="X81" i="1"/>
  <c r="X197" i="1" s="1"/>
  <c r="AX81" i="1"/>
  <c r="AX197" i="1" s="1"/>
  <c r="AO81" i="1"/>
  <c r="AO197" i="1" s="1"/>
  <c r="BA81" i="1"/>
  <c r="AZ81" i="1"/>
  <c r="AZ197" i="1" s="1"/>
  <c r="AN81" i="1"/>
  <c r="AN197" i="1" s="1"/>
  <c r="AS81" i="1"/>
  <c r="AH81" i="1"/>
  <c r="AH197" i="1" s="1"/>
  <c r="Y81" i="1"/>
  <c r="AK81" i="1"/>
  <c r="AK197" i="1" s="1"/>
  <c r="AB81" i="1"/>
  <c r="AB197" i="1" s="1"/>
  <c r="P81" i="1"/>
  <c r="D81" i="1"/>
  <c r="AC81" i="1"/>
  <c r="AC197" i="1" s="1"/>
  <c r="R81" i="1"/>
  <c r="R197" i="1" s="1"/>
  <c r="I81" i="1"/>
  <c r="U81" i="1"/>
  <c r="U197" i="1" s="1"/>
  <c r="AE124" i="1"/>
  <c r="AQ124" i="1"/>
  <c r="AN124" i="1"/>
  <c r="AH124" i="1"/>
  <c r="I124" i="1"/>
  <c r="Y124" i="1"/>
  <c r="Z124" i="1"/>
  <c r="W124" i="1"/>
  <c r="AI124" i="1"/>
  <c r="U124" i="1"/>
  <c r="F124" i="1"/>
  <c r="AJ124" i="1"/>
  <c r="AS124" i="1"/>
  <c r="AL124" i="1"/>
  <c r="AB124" i="1"/>
  <c r="T124" i="1"/>
  <c r="E124" i="1"/>
  <c r="AY124" i="1"/>
  <c r="AM124" i="1"/>
  <c r="L124" i="1"/>
  <c r="O124" i="1"/>
  <c r="AO124" i="1"/>
  <c r="AV124" i="1"/>
  <c r="C124" i="1"/>
  <c r="H124" i="1"/>
  <c r="M124" i="1"/>
  <c r="AW124" i="1"/>
  <c r="J124" i="1"/>
  <c r="AZ124" i="1"/>
  <c r="P124" i="1"/>
  <c r="AT124" i="1"/>
  <c r="D124" i="1"/>
  <c r="BA124" i="1"/>
  <c r="AU124" i="1"/>
  <c r="R124" i="1"/>
  <c r="G124" i="1"/>
  <c r="AA124" i="1"/>
  <c r="AC124" i="1"/>
  <c r="Q124" i="1"/>
  <c r="AK124" i="1"/>
  <c r="AF124" i="1"/>
  <c r="AG124" i="1"/>
  <c r="K124" i="1"/>
  <c r="N124" i="1"/>
  <c r="S124" i="1"/>
  <c r="X124" i="1"/>
  <c r="AR124" i="1"/>
  <c r="AX124" i="1"/>
  <c r="V124" i="1"/>
  <c r="AP124" i="1"/>
  <c r="AD124" i="1"/>
  <c r="AB44" i="1"/>
  <c r="D44" i="1"/>
  <c r="W44" i="1"/>
  <c r="Z44" i="1"/>
  <c r="AM44" i="1"/>
  <c r="J44" i="1"/>
  <c r="AP44" i="1"/>
  <c r="R44" i="1"/>
  <c r="AU44" i="1"/>
  <c r="N44" i="1"/>
  <c r="H44" i="1"/>
  <c r="BA44" i="1"/>
  <c r="AZ44" i="1"/>
  <c r="V44" i="1"/>
  <c r="AA44" i="1"/>
  <c r="AS44" i="1"/>
  <c r="AQ44" i="1"/>
  <c r="G44" i="1"/>
  <c r="AY44" i="1"/>
  <c r="AW44" i="1"/>
  <c r="AG44" i="1"/>
  <c r="C44" i="1"/>
  <c r="Q44" i="1"/>
  <c r="U44" i="1"/>
  <c r="AT44" i="1"/>
  <c r="AF44" i="1"/>
  <c r="L44" i="1"/>
  <c r="AO44" i="1"/>
  <c r="AJ44" i="1"/>
  <c r="AR44" i="1"/>
  <c r="AV44" i="1"/>
  <c r="M44" i="1"/>
  <c r="P44" i="1"/>
  <c r="AK44" i="1"/>
  <c r="AX44" i="1"/>
  <c r="AE44" i="1"/>
  <c r="AI44" i="1"/>
  <c r="T44" i="1"/>
  <c r="O44" i="1"/>
  <c r="X44" i="1"/>
  <c r="AC44" i="1"/>
  <c r="AL44" i="1"/>
  <c r="S44" i="1"/>
  <c r="I44" i="1"/>
  <c r="AH44" i="1"/>
  <c r="AD44" i="1"/>
  <c r="AN44" i="1"/>
  <c r="E44" i="1"/>
  <c r="F44" i="1"/>
  <c r="Y44" i="1"/>
  <c r="K44" i="1"/>
  <c r="J68" i="1"/>
  <c r="AZ68" i="1"/>
  <c r="AO68" i="1"/>
  <c r="E68" i="1"/>
  <c r="AA68" i="1"/>
  <c r="AW68" i="1"/>
  <c r="M68" i="1"/>
  <c r="AV68" i="1"/>
  <c r="V68" i="1"/>
  <c r="AR68" i="1"/>
  <c r="C68" i="1"/>
  <c r="AX68" i="1"/>
  <c r="AE68" i="1"/>
  <c r="I68" i="1"/>
  <c r="Y68" i="1"/>
  <c r="N68" i="1"/>
  <c r="BA68" i="1"/>
  <c r="AJ68" i="1"/>
  <c r="AG68" i="1"/>
  <c r="AP68" i="1"/>
  <c r="D68" i="1"/>
  <c r="AF68" i="1"/>
  <c r="AM68" i="1"/>
  <c r="F68" i="1"/>
  <c r="AB68" i="1"/>
  <c r="AY68" i="1"/>
  <c r="AK68" i="1"/>
  <c r="Q68" i="1"/>
  <c r="K68" i="1"/>
  <c r="AS68" i="1"/>
  <c r="P68" i="1"/>
  <c r="W68" i="1"/>
  <c r="L68" i="1"/>
  <c r="AI68" i="1"/>
  <c r="AQ68" i="1"/>
  <c r="U68" i="1"/>
  <c r="T68" i="1"/>
  <c r="AC68" i="1"/>
  <c r="Z68" i="1"/>
  <c r="G68" i="1"/>
  <c r="AL68" i="1"/>
  <c r="S68" i="1"/>
  <c r="H68" i="1"/>
  <c r="R68" i="1"/>
  <c r="X68" i="1"/>
  <c r="AT68" i="1"/>
  <c r="AU68" i="1"/>
  <c r="AD68" i="1"/>
  <c r="AN68" i="1"/>
  <c r="O68" i="1"/>
  <c r="AH68" i="1"/>
  <c r="AO42" i="1"/>
  <c r="AW42" i="1"/>
  <c r="AS42" i="1"/>
  <c r="I42" i="1"/>
  <c r="AX42" i="1"/>
  <c r="AA42" i="1"/>
  <c r="AK42" i="1"/>
  <c r="AQ42" i="1"/>
  <c r="AG42" i="1"/>
  <c r="K42" i="1"/>
  <c r="G42" i="1"/>
  <c r="J42" i="1"/>
  <c r="AE42" i="1"/>
  <c r="AI42" i="1"/>
  <c r="Z42" i="1"/>
  <c r="T42" i="1"/>
  <c r="P42" i="1"/>
  <c r="N42" i="1"/>
  <c r="AD42" i="1"/>
  <c r="AH42" i="1"/>
  <c r="AU42" i="1"/>
  <c r="AT42" i="1"/>
  <c r="AN42" i="1"/>
  <c r="F42" i="1"/>
  <c r="W42" i="1"/>
  <c r="Q42" i="1"/>
  <c r="C42" i="1"/>
  <c r="X42" i="1"/>
  <c r="D42" i="1"/>
  <c r="R42" i="1"/>
  <c r="H42" i="1"/>
  <c r="AB42" i="1"/>
  <c r="AM42" i="1"/>
  <c r="AF42" i="1"/>
  <c r="AL42" i="1"/>
  <c r="S42" i="1"/>
  <c r="Y42" i="1"/>
  <c r="L42" i="1"/>
  <c r="AJ42" i="1"/>
  <c r="AR42" i="1"/>
  <c r="AZ42" i="1"/>
  <c r="V42" i="1"/>
  <c r="AC42" i="1"/>
  <c r="BA42" i="1"/>
  <c r="M42" i="1"/>
  <c r="O42" i="1"/>
  <c r="U42" i="1"/>
  <c r="AY42" i="1"/>
  <c r="E42" i="1"/>
  <c r="AP42" i="1"/>
  <c r="AV42" i="1"/>
  <c r="AW78" i="1"/>
  <c r="AW194" i="1" s="1"/>
  <c r="Z78" i="1"/>
  <c r="F78" i="1"/>
  <c r="F194" i="1" s="1"/>
  <c r="N78" i="1"/>
  <c r="R78" i="1"/>
  <c r="R194" i="1" s="1"/>
  <c r="AG78" i="1"/>
  <c r="AG194" i="1" s="1"/>
  <c r="AP78" i="1"/>
  <c r="V78" i="1"/>
  <c r="V194" i="1" s="1"/>
  <c r="AD78" i="1"/>
  <c r="AD194" i="1" s="1"/>
  <c r="X78" i="1"/>
  <c r="X194" i="1" s="1"/>
  <c r="AH78" i="1"/>
  <c r="AH194" i="1" s="1"/>
  <c r="AC78" i="1"/>
  <c r="H78" i="1"/>
  <c r="H194" i="1" s="1"/>
  <c r="AS78" i="1"/>
  <c r="AN78" i="1"/>
  <c r="AT78" i="1"/>
  <c r="AT194" i="1" s="1"/>
  <c r="AX78" i="1"/>
  <c r="AX194" i="1" s="1"/>
  <c r="J78" i="1"/>
  <c r="Q78" i="1"/>
  <c r="Q194" i="1" s="1"/>
  <c r="AL78" i="1"/>
  <c r="C78" i="1"/>
  <c r="C194" i="1" s="1"/>
  <c r="M78" i="1"/>
  <c r="M194" i="1" s="1"/>
  <c r="AM78" i="1"/>
  <c r="AM194" i="1" s="1"/>
  <c r="AQ78" i="1"/>
  <c r="AQ194" i="1" s="1"/>
  <c r="AU78" i="1"/>
  <c r="AU194" i="1" s="1"/>
  <c r="AJ78" i="1"/>
  <c r="AJ194" i="1" s="1"/>
  <c r="I78" i="1"/>
  <c r="I194" i="1" s="1"/>
  <c r="AF78" i="1"/>
  <c r="AF194" i="1" s="1"/>
  <c r="U78" i="1"/>
  <c r="U194" i="1" s="1"/>
  <c r="AB78" i="1"/>
  <c r="AB194" i="1" s="1"/>
  <c r="T78" i="1"/>
  <c r="P78" i="1"/>
  <c r="E78" i="1"/>
  <c r="E194" i="1" s="1"/>
  <c r="L78" i="1"/>
  <c r="L194" i="1" s="1"/>
  <c r="S78" i="1"/>
  <c r="G78" i="1"/>
  <c r="G194" i="1" s="1"/>
  <c r="K78" i="1"/>
  <c r="K194" i="1" s="1"/>
  <c r="O78" i="1"/>
  <c r="O194" i="1" s="1"/>
  <c r="D78" i="1"/>
  <c r="D194" i="1" s="1"/>
  <c r="AY78" i="1"/>
  <c r="AY194" i="1" s="1"/>
  <c r="AO78" i="1"/>
  <c r="AO194" i="1" s="1"/>
  <c r="BA78" i="1"/>
  <c r="BA194" i="1" s="1"/>
  <c r="W78" i="1"/>
  <c r="W194" i="1" s="1"/>
  <c r="AA78" i="1"/>
  <c r="AA194" i="1" s="1"/>
  <c r="AE78" i="1"/>
  <c r="AE194" i="1" s="1"/>
  <c r="AZ78" i="1"/>
  <c r="AZ194" i="1" s="1"/>
  <c r="Y78" i="1"/>
  <c r="Y194" i="1" s="1"/>
  <c r="AV78" i="1"/>
  <c r="AV194" i="1" s="1"/>
  <c r="AI78" i="1"/>
  <c r="AI194" i="1" s="1"/>
  <c r="AK78" i="1"/>
  <c r="AK194" i="1" s="1"/>
  <c r="AR78" i="1"/>
  <c r="AR194" i="1" s="1"/>
  <c r="AF99" i="1"/>
  <c r="F99" i="1"/>
  <c r="AQ99" i="1"/>
  <c r="U99" i="1"/>
  <c r="AX99" i="1"/>
  <c r="H99" i="1"/>
  <c r="AS99" i="1"/>
  <c r="AH99" i="1"/>
  <c r="AR99" i="1"/>
  <c r="AE99" i="1"/>
  <c r="R99" i="1"/>
  <c r="AV99" i="1"/>
  <c r="S99" i="1"/>
  <c r="O99" i="1"/>
  <c r="AA99" i="1"/>
  <c r="D99" i="1"/>
  <c r="AO99" i="1"/>
  <c r="G99" i="1"/>
  <c r="X99" i="1"/>
  <c r="Q99" i="1"/>
  <c r="AY99" i="1"/>
  <c r="L99" i="1"/>
  <c r="AW99" i="1"/>
  <c r="AM99" i="1"/>
  <c r="AN99" i="1"/>
  <c r="AI99" i="1"/>
  <c r="AK99" i="1"/>
  <c r="AT99" i="1"/>
  <c r="T99" i="1"/>
  <c r="K99" i="1"/>
  <c r="AC99" i="1"/>
  <c r="E99" i="1"/>
  <c r="AL99" i="1"/>
  <c r="C99" i="1"/>
  <c r="AB99" i="1"/>
  <c r="V99" i="1"/>
  <c r="I99" i="1"/>
  <c r="N99" i="1"/>
  <c r="P99" i="1"/>
  <c r="BA99" i="1"/>
  <c r="W99" i="1"/>
  <c r="AJ99" i="1"/>
  <c r="AG99" i="1"/>
  <c r="AU99" i="1"/>
  <c r="Z99" i="1"/>
  <c r="M99" i="1"/>
  <c r="Y99" i="1"/>
  <c r="J99" i="1"/>
  <c r="AP99" i="1"/>
  <c r="AD99" i="1"/>
  <c r="AZ99" i="1"/>
  <c r="K100" i="1"/>
  <c r="F100" i="1"/>
  <c r="AE100" i="1"/>
  <c r="Z100" i="1"/>
  <c r="AI100" i="1"/>
  <c r="AT100" i="1"/>
  <c r="D100" i="1"/>
  <c r="AJ100" i="1"/>
  <c r="AG100" i="1"/>
  <c r="E100" i="1"/>
  <c r="X100" i="1"/>
  <c r="AO100" i="1"/>
  <c r="R100" i="1"/>
  <c r="AA100" i="1"/>
  <c r="V100" i="1"/>
  <c r="AU100" i="1"/>
  <c r="AP100" i="1"/>
  <c r="P100" i="1"/>
  <c r="G100" i="1"/>
  <c r="M100" i="1"/>
  <c r="AZ100" i="1"/>
  <c r="AW100" i="1"/>
  <c r="U100" i="1"/>
  <c r="AV100" i="1"/>
  <c r="T100" i="1"/>
  <c r="AH100" i="1"/>
  <c r="AQ100" i="1"/>
  <c r="AL100" i="1"/>
  <c r="L100" i="1"/>
  <c r="C100" i="1"/>
  <c r="N100" i="1"/>
  <c r="W100" i="1"/>
  <c r="AC100" i="1"/>
  <c r="AR100" i="1"/>
  <c r="AY100" i="1"/>
  <c r="AK100" i="1"/>
  <c r="I100" i="1"/>
  <c r="AN100" i="1"/>
  <c r="AX100" i="1"/>
  <c r="H100" i="1"/>
  <c r="O100" i="1"/>
  <c r="J100" i="1"/>
  <c r="S100" i="1"/>
  <c r="AD100" i="1"/>
  <c r="AM100" i="1"/>
  <c r="AS100" i="1"/>
  <c r="Q100" i="1"/>
  <c r="AF100" i="1"/>
  <c r="BA100" i="1"/>
  <c r="Y100" i="1"/>
  <c r="AB100" i="1"/>
  <c r="S51" i="1"/>
  <c r="AF51" i="1"/>
  <c r="AI51" i="1"/>
  <c r="U51" i="1"/>
  <c r="AQ51" i="1"/>
  <c r="E51" i="1"/>
  <c r="AK51" i="1"/>
  <c r="X51" i="1"/>
  <c r="M51" i="1"/>
  <c r="G51" i="1"/>
  <c r="AG51" i="1"/>
  <c r="AL51" i="1"/>
  <c r="AC51" i="1"/>
  <c r="V51" i="1"/>
  <c r="AD51" i="1"/>
  <c r="R51" i="1"/>
  <c r="I51" i="1"/>
  <c r="AW51" i="1"/>
  <c r="AO51" i="1"/>
  <c r="AA51" i="1"/>
  <c r="AN51" i="1"/>
  <c r="AB51" i="1"/>
  <c r="AX51" i="1"/>
  <c r="AU51" i="1"/>
  <c r="D51" i="1"/>
  <c r="Z51" i="1"/>
  <c r="J51" i="1"/>
  <c r="C51" i="1"/>
  <c r="AJ51" i="1"/>
  <c r="T51" i="1"/>
  <c r="AE51" i="1"/>
  <c r="AS51" i="1"/>
  <c r="O51" i="1"/>
  <c r="N51" i="1"/>
  <c r="Y51" i="1"/>
  <c r="K51" i="1"/>
  <c r="L51" i="1"/>
  <c r="W51" i="1"/>
  <c r="AY51" i="1"/>
  <c r="AM51" i="1"/>
  <c r="BA51" i="1"/>
  <c r="AV51" i="1"/>
  <c r="AZ51" i="1"/>
  <c r="P51" i="1"/>
  <c r="AT51" i="1"/>
  <c r="H51" i="1"/>
  <c r="F51" i="1"/>
  <c r="AP51" i="1"/>
  <c r="Q51" i="1"/>
  <c r="AR51" i="1"/>
  <c r="AH51" i="1"/>
  <c r="F138" i="1"/>
  <c r="T138" i="1"/>
  <c r="AX138" i="1"/>
  <c r="L138" i="1"/>
  <c r="D138" i="1"/>
  <c r="AP138" i="1"/>
  <c r="Q138" i="1"/>
  <c r="I138" i="1"/>
  <c r="Z138" i="1"/>
  <c r="AI138" i="1"/>
  <c r="R138" i="1"/>
  <c r="AC138" i="1"/>
  <c r="G138" i="1"/>
  <c r="AB138" i="1"/>
  <c r="AO138" i="1"/>
  <c r="K138" i="1"/>
  <c r="AG138" i="1"/>
  <c r="Y138" i="1"/>
  <c r="O138" i="1"/>
  <c r="AL138" i="1"/>
  <c r="AD138" i="1"/>
  <c r="AV138" i="1"/>
  <c r="AY138" i="1"/>
  <c r="AS138" i="1"/>
  <c r="J138" i="1"/>
  <c r="W138" i="1"/>
  <c r="AW138" i="1"/>
  <c r="P138" i="1"/>
  <c r="AA138" i="1"/>
  <c r="H138" i="1"/>
  <c r="AT138" i="1"/>
  <c r="AE138" i="1"/>
  <c r="M138" i="1"/>
  <c r="AZ138" i="1"/>
  <c r="C138" i="1"/>
  <c r="V138" i="1"/>
  <c r="N138" i="1"/>
  <c r="AF138" i="1"/>
  <c r="AM138" i="1"/>
  <c r="X138" i="1"/>
  <c r="AK138" i="1"/>
  <c r="AQ138" i="1"/>
  <c r="AH138" i="1"/>
  <c r="U138" i="1"/>
  <c r="AU138" i="1"/>
  <c r="AN138" i="1"/>
  <c r="E138" i="1"/>
  <c r="S138" i="1"/>
  <c r="AR138" i="1"/>
  <c r="AJ138" i="1"/>
  <c r="BA138" i="1"/>
  <c r="I108" i="1"/>
  <c r="AK108" i="1"/>
  <c r="AC108" i="1"/>
  <c r="AP108" i="1"/>
  <c r="AQ108" i="1"/>
  <c r="AI108" i="1"/>
  <c r="T108" i="1"/>
  <c r="AV108" i="1"/>
  <c r="S108" i="1"/>
  <c r="AX108" i="1"/>
  <c r="K108" i="1"/>
  <c r="AG108" i="1"/>
  <c r="F108" i="1"/>
  <c r="AE108" i="1"/>
  <c r="Q108" i="1"/>
  <c r="AY108" i="1"/>
  <c r="O108" i="1"/>
  <c r="W108" i="1"/>
  <c r="N108" i="1"/>
  <c r="AO108" i="1"/>
  <c r="G108" i="1"/>
  <c r="AN108" i="1"/>
  <c r="D108" i="1"/>
  <c r="AF108" i="1"/>
  <c r="C108" i="1"/>
  <c r="V108" i="1"/>
  <c r="AZ108" i="1"/>
  <c r="AM108" i="1"/>
  <c r="J108" i="1"/>
  <c r="AJ108" i="1"/>
  <c r="AR108" i="1"/>
  <c r="AD108" i="1"/>
  <c r="E108" i="1"/>
  <c r="AB108" i="1"/>
  <c r="R108" i="1"/>
  <c r="Y108" i="1"/>
  <c r="BA108" i="1"/>
  <c r="X108" i="1"/>
  <c r="AL108" i="1"/>
  <c r="P108" i="1"/>
  <c r="H108" i="1"/>
  <c r="Z108" i="1"/>
  <c r="U108" i="1"/>
  <c r="M108" i="1"/>
  <c r="AT108" i="1"/>
  <c r="AA108" i="1"/>
  <c r="AW108" i="1"/>
  <c r="AH108" i="1"/>
  <c r="AU108" i="1"/>
  <c r="L108" i="1"/>
  <c r="AS108" i="1"/>
  <c r="AZ40" i="1"/>
  <c r="D40" i="1"/>
  <c r="P40" i="1"/>
  <c r="AK40" i="1"/>
  <c r="AJ40" i="1"/>
  <c r="U40" i="1"/>
  <c r="AV40" i="1"/>
  <c r="AA40" i="1"/>
  <c r="AN40" i="1"/>
  <c r="K40" i="1"/>
  <c r="AT40" i="1"/>
  <c r="AR40" i="1"/>
  <c r="AX40" i="1"/>
  <c r="AU40" i="1"/>
  <c r="V40" i="1"/>
  <c r="S40" i="1"/>
  <c r="M40" i="1"/>
  <c r="H40" i="1"/>
  <c r="AB40" i="1"/>
  <c r="AD40" i="1"/>
  <c r="Z40" i="1"/>
  <c r="AG40" i="1"/>
  <c r="AH40" i="1"/>
  <c r="AO40" i="1"/>
  <c r="F40" i="1"/>
  <c r="AQ40" i="1"/>
  <c r="AP40" i="1"/>
  <c r="G40" i="1"/>
  <c r="AW40" i="1"/>
  <c r="AF40" i="1"/>
  <c r="O40" i="1"/>
  <c r="AL40" i="1"/>
  <c r="AC40" i="1"/>
  <c r="T40" i="1"/>
  <c r="E40" i="1"/>
  <c r="N40" i="1"/>
  <c r="W40" i="1"/>
  <c r="AE40" i="1"/>
  <c r="I40" i="1"/>
  <c r="L40" i="1"/>
  <c r="C40" i="1"/>
  <c r="AS40" i="1"/>
  <c r="BA40" i="1"/>
  <c r="J40" i="1"/>
  <c r="AM40" i="1"/>
  <c r="Q40" i="1"/>
  <c r="X40" i="1"/>
  <c r="R40" i="1"/>
  <c r="Y40" i="1"/>
  <c r="AI40" i="1"/>
  <c r="AY40" i="1"/>
  <c r="H134" i="1"/>
  <c r="R134" i="1"/>
  <c r="N134" i="1"/>
  <c r="L134" i="1"/>
  <c r="Z134" i="1"/>
  <c r="V134" i="1"/>
  <c r="AU134" i="1"/>
  <c r="AH134" i="1"/>
  <c r="S134" i="1"/>
  <c r="T134" i="1"/>
  <c r="J134" i="1"/>
  <c r="AD134" i="1"/>
  <c r="G134" i="1"/>
  <c r="X134" i="1"/>
  <c r="AT134" i="1"/>
  <c r="K134" i="1"/>
  <c r="AB134" i="1"/>
  <c r="AZ134" i="1"/>
  <c r="AW134" i="1"/>
  <c r="P134" i="1"/>
  <c r="E134" i="1"/>
  <c r="AI134" i="1"/>
  <c r="AJ134" i="1"/>
  <c r="AO134" i="1"/>
  <c r="AL134" i="1"/>
  <c r="W134" i="1"/>
  <c r="Q134" i="1"/>
  <c r="U134" i="1"/>
  <c r="AA134" i="1"/>
  <c r="Y134" i="1"/>
  <c r="AC134" i="1"/>
  <c r="O134" i="1"/>
  <c r="AF134" i="1"/>
  <c r="AK134" i="1"/>
  <c r="AY134" i="1"/>
  <c r="I134" i="1"/>
  <c r="M134" i="1"/>
  <c r="AR134" i="1"/>
  <c r="AM134" i="1"/>
  <c r="AS134" i="1"/>
  <c r="AV134" i="1"/>
  <c r="AQ134" i="1"/>
  <c r="AX134" i="1"/>
  <c r="BA134" i="1"/>
  <c r="AE134" i="1"/>
  <c r="AG134" i="1"/>
  <c r="C134" i="1"/>
  <c r="D134" i="1"/>
  <c r="AN134" i="1"/>
  <c r="AP134" i="1"/>
  <c r="F134" i="1"/>
  <c r="AG58" i="1"/>
  <c r="AP58" i="1"/>
  <c r="I58" i="1"/>
  <c r="P58" i="1"/>
  <c r="AX58" i="1"/>
  <c r="F58" i="1"/>
  <c r="AV58" i="1"/>
  <c r="U58" i="1"/>
  <c r="AI58" i="1"/>
  <c r="AC58" i="1"/>
  <c r="R58" i="1"/>
  <c r="AQ58" i="1"/>
  <c r="Y58" i="1"/>
  <c r="AW58" i="1"/>
  <c r="N58" i="1"/>
  <c r="G58" i="1"/>
  <c r="K58" i="1"/>
  <c r="V58" i="1"/>
  <c r="L58" i="1"/>
  <c r="AO58" i="1"/>
  <c r="AL58" i="1"/>
  <c r="M58" i="1"/>
  <c r="AU58" i="1"/>
  <c r="O58" i="1"/>
  <c r="AM58" i="1"/>
  <c r="AR58" i="1"/>
  <c r="AJ58" i="1"/>
  <c r="AY58" i="1"/>
  <c r="T58" i="1"/>
  <c r="E58" i="1"/>
  <c r="S58" i="1"/>
  <c r="AA58" i="1"/>
  <c r="BA58" i="1"/>
  <c r="AT58" i="1"/>
  <c r="Q58" i="1"/>
  <c r="W58" i="1"/>
  <c r="J58" i="1"/>
  <c r="C58" i="1"/>
  <c r="AZ58" i="1"/>
  <c r="AN58" i="1"/>
  <c r="Z58" i="1"/>
  <c r="AB58" i="1"/>
  <c r="D58" i="1"/>
  <c r="AH58" i="1"/>
  <c r="AS58" i="1"/>
  <c r="H58" i="1"/>
  <c r="X58" i="1"/>
  <c r="AE58" i="1"/>
  <c r="AK58" i="1"/>
  <c r="AD58" i="1"/>
  <c r="AF58" i="1"/>
  <c r="AA112" i="1"/>
  <c r="AR112" i="1"/>
  <c r="F112" i="1"/>
  <c r="AE112" i="1"/>
  <c r="AV112" i="1"/>
  <c r="J112" i="1"/>
  <c r="S112" i="1"/>
  <c r="T112" i="1"/>
  <c r="U112" i="1"/>
  <c r="AD112" i="1"/>
  <c r="AM112" i="1"/>
  <c r="I112" i="1"/>
  <c r="R112" i="1"/>
  <c r="AQ112" i="1"/>
  <c r="M112" i="1"/>
  <c r="V112" i="1"/>
  <c r="AU112" i="1"/>
  <c r="Q112" i="1"/>
  <c r="Z112" i="1"/>
  <c r="AI112" i="1"/>
  <c r="AJ112" i="1"/>
  <c r="AK112" i="1"/>
  <c r="AT112" i="1"/>
  <c r="H112" i="1"/>
  <c r="Y112" i="1"/>
  <c r="AH112" i="1"/>
  <c r="L112" i="1"/>
  <c r="AC112" i="1"/>
  <c r="AL112" i="1"/>
  <c r="P112" i="1"/>
  <c r="AG112" i="1"/>
  <c r="AP112" i="1"/>
  <c r="AY112" i="1"/>
  <c r="AZ112" i="1"/>
  <c r="BA112" i="1"/>
  <c r="G112" i="1"/>
  <c r="X112" i="1"/>
  <c r="AO112" i="1"/>
  <c r="K112" i="1"/>
  <c r="AB112" i="1"/>
  <c r="AS112" i="1"/>
  <c r="O112" i="1"/>
  <c r="AF112" i="1"/>
  <c r="AW112" i="1"/>
  <c r="C112" i="1"/>
  <c r="D112" i="1"/>
  <c r="E112" i="1"/>
  <c r="N112" i="1"/>
  <c r="W112" i="1"/>
  <c r="AN112" i="1"/>
  <c r="AX112" i="1"/>
  <c r="L127" i="1"/>
  <c r="AF127" i="1"/>
  <c r="AJ127" i="1"/>
  <c r="AB127" i="1"/>
  <c r="AR127" i="1"/>
  <c r="P127" i="1"/>
  <c r="T127" i="1"/>
  <c r="AG127" i="1"/>
  <c r="AT127" i="1"/>
  <c r="AN127" i="1"/>
  <c r="BA127" i="1"/>
  <c r="O127" i="1"/>
  <c r="Y127" i="1"/>
  <c r="AL127" i="1"/>
  <c r="AY127" i="1"/>
  <c r="AS127" i="1"/>
  <c r="G127" i="1"/>
  <c r="AZ127" i="1"/>
  <c r="AW127" i="1"/>
  <c r="K127" i="1"/>
  <c r="E127" i="1"/>
  <c r="R127" i="1"/>
  <c r="AE127" i="1"/>
  <c r="AO127" i="1"/>
  <c r="C127" i="1"/>
  <c r="H127" i="1"/>
  <c r="J127" i="1"/>
  <c r="W127" i="1"/>
  <c r="AV127" i="1"/>
  <c r="X127" i="1"/>
  <c r="N127" i="1"/>
  <c r="AA127" i="1"/>
  <c r="U127" i="1"/>
  <c r="AH127" i="1"/>
  <c r="AU127" i="1"/>
  <c r="F127" i="1"/>
  <c r="S127" i="1"/>
  <c r="M127" i="1"/>
  <c r="Z127" i="1"/>
  <c r="AM127" i="1"/>
  <c r="D127" i="1"/>
  <c r="Q127" i="1"/>
  <c r="AD127" i="1"/>
  <c r="AQ127" i="1"/>
  <c r="AK127" i="1"/>
  <c r="AX127" i="1"/>
  <c r="I127" i="1"/>
  <c r="V127" i="1"/>
  <c r="AI127" i="1"/>
  <c r="AC127" i="1"/>
  <c r="AP127" i="1"/>
  <c r="AQ77" i="1"/>
  <c r="AQ193" i="1" s="1"/>
  <c r="AU77" i="1"/>
  <c r="AU193" i="1" s="1"/>
  <c r="AD77" i="1"/>
  <c r="G77" i="1"/>
  <c r="G193" i="1" s="1"/>
  <c r="S77" i="1"/>
  <c r="S193" i="1" s="1"/>
  <c r="AY77" i="1"/>
  <c r="AY193" i="1" s="1"/>
  <c r="AP77" i="1"/>
  <c r="AP193" i="1" s="1"/>
  <c r="W77" i="1"/>
  <c r="W193" i="1" s="1"/>
  <c r="J77" i="1"/>
  <c r="J193" i="1" s="1"/>
  <c r="BA77" i="1"/>
  <c r="BA193" i="1" s="1"/>
  <c r="K77" i="1"/>
  <c r="K193" i="1" s="1"/>
  <c r="O77" i="1"/>
  <c r="O193" i="1" s="1"/>
  <c r="U77" i="1"/>
  <c r="U193" i="1" s="1"/>
  <c r="AM77" i="1"/>
  <c r="AM193" i="1" s="1"/>
  <c r="AI77" i="1"/>
  <c r="AI193" i="1" s="1"/>
  <c r="N77" i="1"/>
  <c r="N193" i="1" s="1"/>
  <c r="AT77" i="1"/>
  <c r="AT193" i="1" s="1"/>
  <c r="AA77" i="1"/>
  <c r="AA193" i="1" s="1"/>
  <c r="AE77" i="1"/>
  <c r="C77" i="1"/>
  <c r="C193" i="1" s="1"/>
  <c r="Z77" i="1"/>
  <c r="Z193" i="1" s="1"/>
  <c r="E77" i="1"/>
  <c r="AK77" i="1"/>
  <c r="AK193" i="1" s="1"/>
  <c r="AJ77" i="1"/>
  <c r="AJ193" i="1" s="1"/>
  <c r="X77" i="1"/>
  <c r="X193" i="1" s="1"/>
  <c r="AB77" i="1"/>
  <c r="AB193" i="1" s="1"/>
  <c r="AG77" i="1"/>
  <c r="M77" i="1"/>
  <c r="M193" i="1" s="1"/>
  <c r="AF77" i="1"/>
  <c r="R77" i="1"/>
  <c r="R193" i="1" s="1"/>
  <c r="I77" i="1"/>
  <c r="AZ77" i="1"/>
  <c r="AZ193" i="1" s="1"/>
  <c r="AN77" i="1"/>
  <c r="AN193" i="1" s="1"/>
  <c r="AR77" i="1"/>
  <c r="AR193" i="1" s="1"/>
  <c r="Q77" i="1"/>
  <c r="Q193" i="1" s="1"/>
  <c r="AL77" i="1"/>
  <c r="AL193" i="1" s="1"/>
  <c r="D77" i="1"/>
  <c r="D193" i="1" s="1"/>
  <c r="V77" i="1"/>
  <c r="V193" i="1" s="1"/>
  <c r="AS77" i="1"/>
  <c r="AS193" i="1" s="1"/>
  <c r="AX77" i="1"/>
  <c r="AX193" i="1" s="1"/>
  <c r="AO77" i="1"/>
  <c r="AO193" i="1" s="1"/>
  <c r="P77" i="1"/>
  <c r="P193" i="1" s="1"/>
  <c r="T77" i="1"/>
  <c r="H77" i="1"/>
  <c r="H193" i="1" s="1"/>
  <c r="L77" i="1"/>
  <c r="AW77" i="1"/>
  <c r="AW193" i="1" s="1"/>
  <c r="AV77" i="1"/>
  <c r="AV193" i="1" s="1"/>
  <c r="F77" i="1"/>
  <c r="F193" i="1" s="1"/>
  <c r="AC77" i="1"/>
  <c r="AC193" i="1" s="1"/>
  <c r="AH77" i="1"/>
  <c r="AH193" i="1" s="1"/>
  <c r="Y77" i="1"/>
  <c r="Y193" i="1" s="1"/>
  <c r="M118" i="1"/>
  <c r="Z118" i="1"/>
  <c r="AB118" i="1"/>
  <c r="G118" i="1"/>
  <c r="F118" i="1"/>
  <c r="E118" i="1"/>
  <c r="L118" i="1"/>
  <c r="AF118" i="1"/>
  <c r="AO118" i="1"/>
  <c r="P118" i="1"/>
  <c r="C118" i="1"/>
  <c r="AI118" i="1"/>
  <c r="S118" i="1"/>
  <c r="AC118" i="1"/>
  <c r="AU118" i="1"/>
  <c r="Q118" i="1"/>
  <c r="J118" i="1"/>
  <c r="AA118" i="1"/>
  <c r="U118" i="1"/>
  <c r="O118" i="1"/>
  <c r="AX118" i="1"/>
  <c r="R118" i="1"/>
  <c r="AL118" i="1"/>
  <c r="X118" i="1"/>
  <c r="AY118" i="1"/>
  <c r="AR118" i="1"/>
  <c r="AS118" i="1"/>
  <c r="V118" i="1"/>
  <c r="AG118" i="1"/>
  <c r="AE118" i="1"/>
  <c r="AV118" i="1"/>
  <c r="AK118" i="1"/>
  <c r="AJ118" i="1"/>
  <c r="I118" i="1"/>
  <c r="T118" i="1"/>
  <c r="N118" i="1"/>
  <c r="AN118" i="1"/>
  <c r="AH118" i="1"/>
  <c r="H118" i="1"/>
  <c r="D118" i="1"/>
  <c r="AQ118" i="1"/>
  <c r="AW118" i="1"/>
  <c r="AZ118" i="1"/>
  <c r="AM118" i="1"/>
  <c r="BA118" i="1"/>
  <c r="K118" i="1"/>
  <c r="Y118" i="1"/>
  <c r="AP118" i="1"/>
  <c r="AD118" i="1"/>
  <c r="W118" i="1"/>
  <c r="AT118" i="1"/>
  <c r="AC46" i="1"/>
  <c r="AY46" i="1"/>
  <c r="AY162" i="1" s="1"/>
  <c r="L46" i="1"/>
  <c r="L162" i="1" s="1"/>
  <c r="U46" i="1"/>
  <c r="M46" i="1"/>
  <c r="M162" i="1" s="1"/>
  <c r="C46" i="1"/>
  <c r="C162" i="1" s="1"/>
  <c r="R46" i="1"/>
  <c r="R162" i="1" s="1"/>
  <c r="AN46" i="1"/>
  <c r="AN162" i="1" s="1"/>
  <c r="G46" i="1"/>
  <c r="G162" i="1" s="1"/>
  <c r="W46" i="1"/>
  <c r="W162" i="1" s="1"/>
  <c r="AU46" i="1"/>
  <c r="AU162" i="1" s="1"/>
  <c r="AX46" i="1"/>
  <c r="AX162" i="1" s="1"/>
  <c r="AA46" i="1"/>
  <c r="AA162" i="1" s="1"/>
  <c r="AR46" i="1"/>
  <c r="AR162" i="1" s="1"/>
  <c r="AV46" i="1"/>
  <c r="AV162" i="1" s="1"/>
  <c r="AG46" i="1"/>
  <c r="AG162" i="1" s="1"/>
  <c r="Y46" i="1"/>
  <c r="P46" i="1"/>
  <c r="P162" i="1" s="1"/>
  <c r="AL46" i="1"/>
  <c r="AL162" i="1" s="1"/>
  <c r="AK46" i="1"/>
  <c r="AK162" i="1" s="1"/>
  <c r="AW46" i="1"/>
  <c r="AW162" i="1" s="1"/>
  <c r="H46" i="1"/>
  <c r="H162" i="1" s="1"/>
  <c r="V46" i="1"/>
  <c r="V162" i="1" s="1"/>
  <c r="X46" i="1"/>
  <c r="AE46" i="1"/>
  <c r="AE162" i="1" s="1"/>
  <c r="AH46" i="1"/>
  <c r="AH162" i="1" s="1"/>
  <c r="K46" i="1"/>
  <c r="K162" i="1" s="1"/>
  <c r="AT46" i="1"/>
  <c r="AT162" i="1" s="1"/>
  <c r="AD46" i="1"/>
  <c r="AZ46" i="1"/>
  <c r="AZ162" i="1" s="1"/>
  <c r="E46" i="1"/>
  <c r="E162" i="1" s="1"/>
  <c r="Q46" i="1"/>
  <c r="Q162" i="1" s="1"/>
  <c r="AF46" i="1"/>
  <c r="BA46" i="1"/>
  <c r="BA162" i="1" s="1"/>
  <c r="AJ46" i="1"/>
  <c r="AI46" i="1"/>
  <c r="AI162" i="1" s="1"/>
  <c r="I46" i="1"/>
  <c r="I162" i="1" s="1"/>
  <c r="AS46" i="1"/>
  <c r="AS162" i="1" s="1"/>
  <c r="AB46" i="1"/>
  <c r="AB162" i="1" s="1"/>
  <c r="AM46" i="1"/>
  <c r="AM162" i="1" s="1"/>
  <c r="F46" i="1"/>
  <c r="F162" i="1" s="1"/>
  <c r="T46" i="1"/>
  <c r="T162" i="1" s="1"/>
  <c r="AQ46" i="1"/>
  <c r="N46" i="1"/>
  <c r="N162" i="1" s="1"/>
  <c r="AO46" i="1"/>
  <c r="AO162" i="1" s="1"/>
  <c r="D46" i="1"/>
  <c r="D162" i="1" s="1"/>
  <c r="S46" i="1"/>
  <c r="AP46" i="1"/>
  <c r="AP162" i="1" s="1"/>
  <c r="O46" i="1"/>
  <c r="O162" i="1" s="1"/>
  <c r="J46" i="1"/>
  <c r="J162" i="1" s="1"/>
  <c r="Z46" i="1"/>
  <c r="Z162" i="1" s="1"/>
  <c r="Q132" i="1"/>
  <c r="U132" i="1"/>
  <c r="AO132" i="1"/>
  <c r="AL132" i="1"/>
  <c r="G132" i="1"/>
  <c r="J132" i="1"/>
  <c r="AF132" i="1"/>
  <c r="AZ132" i="1"/>
  <c r="AT132" i="1"/>
  <c r="AI132" i="1"/>
  <c r="AS132" i="1"/>
  <c r="H132" i="1"/>
  <c r="AV132" i="1"/>
  <c r="AG132" i="1"/>
  <c r="AK132" i="1"/>
  <c r="BA132" i="1"/>
  <c r="L132" i="1"/>
  <c r="AQ132" i="1"/>
  <c r="Z132" i="1"/>
  <c r="S132" i="1"/>
  <c r="AC132" i="1"/>
  <c r="D132" i="1"/>
  <c r="AM132" i="1"/>
  <c r="R132" i="1"/>
  <c r="X132" i="1"/>
  <c r="AA132" i="1"/>
  <c r="AW132" i="1"/>
  <c r="I132" i="1"/>
  <c r="F132" i="1"/>
  <c r="AB132" i="1"/>
  <c r="AR132" i="1"/>
  <c r="AP132" i="1"/>
  <c r="W132" i="1"/>
  <c r="N132" i="1"/>
  <c r="T132" i="1"/>
  <c r="K132" i="1"/>
  <c r="AH132" i="1"/>
  <c r="AN132" i="1"/>
  <c r="AE132" i="1"/>
  <c r="E132" i="1"/>
  <c r="Y132" i="1"/>
  <c r="V132" i="1"/>
  <c r="C132" i="1"/>
  <c r="M132" i="1"/>
  <c r="P132" i="1"/>
  <c r="AY132" i="1"/>
  <c r="AD132" i="1"/>
  <c r="AJ132" i="1"/>
  <c r="O132" i="1"/>
  <c r="AX132" i="1"/>
  <c r="AU132" i="1"/>
  <c r="H141" i="1"/>
  <c r="E141" i="1"/>
  <c r="L141" i="1"/>
  <c r="M141" i="1"/>
  <c r="AW141" i="1"/>
  <c r="AG141" i="1"/>
  <c r="AC141" i="1"/>
  <c r="AJ141" i="1"/>
  <c r="P141" i="1"/>
  <c r="R141" i="1"/>
  <c r="Y141" i="1"/>
  <c r="AA141" i="1"/>
  <c r="AM141" i="1"/>
  <c r="AB141" i="1"/>
  <c r="Z141" i="1"/>
  <c r="AE141" i="1"/>
  <c r="AF141" i="1"/>
  <c r="K141" i="1"/>
  <c r="Q141" i="1"/>
  <c r="W141" i="1"/>
  <c r="AZ141" i="1"/>
  <c r="AH141" i="1"/>
  <c r="C141" i="1"/>
  <c r="U141" i="1"/>
  <c r="AQ141" i="1"/>
  <c r="F141" i="1"/>
  <c r="AR141" i="1"/>
  <c r="AP141" i="1"/>
  <c r="AO141" i="1"/>
  <c r="AV141" i="1"/>
  <c r="AD141" i="1"/>
  <c r="AI141" i="1"/>
  <c r="N141" i="1"/>
  <c r="T141" i="1"/>
  <c r="AX141" i="1"/>
  <c r="X141" i="1"/>
  <c r="AL141" i="1"/>
  <c r="AU141" i="1"/>
  <c r="V141" i="1"/>
  <c r="AK141" i="1"/>
  <c r="O141" i="1"/>
  <c r="J141" i="1"/>
  <c r="D141" i="1"/>
  <c r="AT141" i="1"/>
  <c r="AY141" i="1"/>
  <c r="S141" i="1"/>
  <c r="BA141" i="1"/>
  <c r="AS141" i="1"/>
  <c r="AN141" i="1"/>
  <c r="G141" i="1"/>
  <c r="I141" i="1"/>
  <c r="AD57" i="1"/>
  <c r="AD173" i="1" s="1"/>
  <c r="AY57" i="1"/>
  <c r="S57" i="1"/>
  <c r="S173" i="1" s="1"/>
  <c r="I57" i="1"/>
  <c r="I173" i="1" s="1"/>
  <c r="M57" i="1"/>
  <c r="M173" i="1" s="1"/>
  <c r="AO57" i="1"/>
  <c r="AA57" i="1"/>
  <c r="AA173" i="1" s="1"/>
  <c r="N57" i="1"/>
  <c r="N173" i="1" s="1"/>
  <c r="E57" i="1"/>
  <c r="E173" i="1" s="1"/>
  <c r="AF57" i="1"/>
  <c r="AF173" i="1" s="1"/>
  <c r="BA57" i="1"/>
  <c r="BA173" i="1" s="1"/>
  <c r="AC57" i="1"/>
  <c r="AC173" i="1" s="1"/>
  <c r="AE57" i="1"/>
  <c r="AE173" i="1" s="1"/>
  <c r="AL57" i="1"/>
  <c r="AL173" i="1" s="1"/>
  <c r="AS57" i="1"/>
  <c r="AS173" i="1" s="1"/>
  <c r="AT57" i="1"/>
  <c r="F57" i="1"/>
  <c r="F173" i="1" s="1"/>
  <c r="AH57" i="1"/>
  <c r="AH173" i="1" s="1"/>
  <c r="Z57" i="1"/>
  <c r="Z173" i="1" s="1"/>
  <c r="AR57" i="1"/>
  <c r="AR173" i="1" s="1"/>
  <c r="U57" i="1"/>
  <c r="U173" i="1" s="1"/>
  <c r="V57" i="1"/>
  <c r="V173" i="1" s="1"/>
  <c r="AX57" i="1"/>
  <c r="AX173" i="1" s="1"/>
  <c r="AV57" i="1"/>
  <c r="AV173" i="1" s="1"/>
  <c r="H57" i="1"/>
  <c r="H173" i="1" s="1"/>
  <c r="Y57" i="1"/>
  <c r="Y173" i="1" s="1"/>
  <c r="L57" i="1"/>
  <c r="L173" i="1" s="1"/>
  <c r="AU57" i="1"/>
  <c r="O57" i="1"/>
  <c r="O173" i="1" s="1"/>
  <c r="AP57" i="1"/>
  <c r="AP173" i="1" s="1"/>
  <c r="AQ57" i="1"/>
  <c r="AQ173" i="1" s="1"/>
  <c r="J57" i="1"/>
  <c r="J173" i="1" s="1"/>
  <c r="K57" i="1"/>
  <c r="K173" i="1" s="1"/>
  <c r="R57" i="1"/>
  <c r="AB57" i="1"/>
  <c r="AB173" i="1" s="1"/>
  <c r="AJ57" i="1"/>
  <c r="AJ173" i="1" s="1"/>
  <c r="X57" i="1"/>
  <c r="X173" i="1" s="1"/>
  <c r="AI57" i="1"/>
  <c r="AI173" i="1" s="1"/>
  <c r="AM57" i="1"/>
  <c r="AM173" i="1" s="1"/>
  <c r="AN57" i="1"/>
  <c r="AN173" i="1" s="1"/>
  <c r="C57" i="1"/>
  <c r="C173" i="1" s="1"/>
  <c r="AZ57" i="1"/>
  <c r="AZ173" i="1" s="1"/>
  <c r="AK57" i="1"/>
  <c r="Q57" i="1"/>
  <c r="AW57" i="1"/>
  <c r="AW173" i="1" s="1"/>
  <c r="G57" i="1"/>
  <c r="G173" i="1" s="1"/>
  <c r="AG57" i="1"/>
  <c r="AG173" i="1" s="1"/>
  <c r="W57" i="1"/>
  <c r="W173" i="1" s="1"/>
  <c r="T57" i="1"/>
  <c r="T173" i="1" s="1"/>
  <c r="D57" i="1"/>
  <c r="D173" i="1" s="1"/>
  <c r="P57" i="1"/>
  <c r="P173" i="1" s="1"/>
  <c r="AS52" i="1"/>
  <c r="AM52" i="1"/>
  <c r="AJ52" i="1"/>
  <c r="G52" i="1"/>
  <c r="AR52" i="1"/>
  <c r="AC52" i="1"/>
  <c r="K52" i="1"/>
  <c r="AF52" i="1"/>
  <c r="C52" i="1"/>
  <c r="X52" i="1"/>
  <c r="AG52" i="1"/>
  <c r="AK52" i="1"/>
  <c r="AX52" i="1"/>
  <c r="O52" i="1"/>
  <c r="W52" i="1"/>
  <c r="AZ52" i="1"/>
  <c r="M52" i="1"/>
  <c r="N52" i="1"/>
  <c r="AA52" i="1"/>
  <c r="Z52" i="1"/>
  <c r="AI52" i="1"/>
  <c r="AV52" i="1"/>
  <c r="AN52" i="1"/>
  <c r="AD52" i="1"/>
  <c r="AP52" i="1"/>
  <c r="AW52" i="1"/>
  <c r="BA52" i="1"/>
  <c r="I52" i="1"/>
  <c r="AE52" i="1"/>
  <c r="R52" i="1"/>
  <c r="D52" i="1"/>
  <c r="AU52" i="1"/>
  <c r="L52" i="1"/>
  <c r="AY52" i="1"/>
  <c r="H52" i="1"/>
  <c r="AT52" i="1"/>
  <c r="J52" i="1"/>
  <c r="V52" i="1"/>
  <c r="Q52" i="1"/>
  <c r="E52" i="1"/>
  <c r="Y52" i="1"/>
  <c r="AO52" i="1"/>
  <c r="S52" i="1"/>
  <c r="T52" i="1"/>
  <c r="F52" i="1"/>
  <c r="U52" i="1"/>
  <c r="AL52" i="1"/>
  <c r="AB52" i="1"/>
  <c r="P52" i="1"/>
  <c r="AQ52" i="1"/>
  <c r="AH52" i="1"/>
  <c r="AV102" i="1"/>
  <c r="V102" i="1"/>
  <c r="D102" i="1"/>
  <c r="AE102" i="1"/>
  <c r="AW102" i="1"/>
  <c r="O102" i="1"/>
  <c r="BA102" i="1"/>
  <c r="AR102" i="1"/>
  <c r="AL102" i="1"/>
  <c r="I102" i="1"/>
  <c r="N102" i="1"/>
  <c r="AO102" i="1"/>
  <c r="AT102" i="1"/>
  <c r="E102" i="1"/>
  <c r="AQ102" i="1"/>
  <c r="T102" i="1"/>
  <c r="AZ102" i="1"/>
  <c r="H102" i="1"/>
  <c r="AK102" i="1"/>
  <c r="G102" i="1"/>
  <c r="U102" i="1"/>
  <c r="M102" i="1"/>
  <c r="AD102" i="1"/>
  <c r="AI102" i="1"/>
  <c r="W102" i="1"/>
  <c r="P102" i="1"/>
  <c r="Z102" i="1"/>
  <c r="R102" i="1"/>
  <c r="AJ102" i="1"/>
  <c r="F102" i="1"/>
  <c r="X102" i="1"/>
  <c r="K102" i="1"/>
  <c r="L102" i="1"/>
  <c r="AP102" i="1"/>
  <c r="AH102" i="1"/>
  <c r="AY102" i="1"/>
  <c r="AX102" i="1"/>
  <c r="C102" i="1"/>
  <c r="AF102" i="1"/>
  <c r="AU102" i="1"/>
  <c r="AM102" i="1"/>
  <c r="J102" i="1"/>
  <c r="AA102" i="1"/>
  <c r="AN102" i="1"/>
  <c r="AG102" i="1"/>
  <c r="AB102" i="1"/>
  <c r="Q102" i="1"/>
  <c r="AC102" i="1"/>
  <c r="AS102" i="1"/>
  <c r="S102" i="1"/>
  <c r="Y102" i="1"/>
  <c r="BA62" i="1"/>
  <c r="BA178" i="1" s="1"/>
  <c r="AT62" i="1"/>
  <c r="F62" i="1"/>
  <c r="Y62" i="1"/>
  <c r="Y178" i="1" s="1"/>
  <c r="Q62" i="1"/>
  <c r="AL62" i="1"/>
  <c r="AL178" i="1" s="1"/>
  <c r="N62" i="1"/>
  <c r="N178" i="1" s="1"/>
  <c r="AO62" i="1"/>
  <c r="AO178" i="1" s="1"/>
  <c r="V62" i="1"/>
  <c r="V178" i="1" s="1"/>
  <c r="AW62" i="1"/>
  <c r="AW178" i="1" s="1"/>
  <c r="U62" i="1"/>
  <c r="U178" i="1" s="1"/>
  <c r="AC62" i="1"/>
  <c r="AC178" i="1" s="1"/>
  <c r="AS62" i="1"/>
  <c r="AD62" i="1"/>
  <c r="AG62" i="1"/>
  <c r="L62" i="1"/>
  <c r="L178" i="1" s="1"/>
  <c r="AK62" i="1"/>
  <c r="AK178" i="1" s="1"/>
  <c r="AB62" i="1"/>
  <c r="AB178" i="1" s="1"/>
  <c r="AA62" i="1"/>
  <c r="AA178" i="1" s="1"/>
  <c r="S62" i="1"/>
  <c r="S178" i="1" s="1"/>
  <c r="W62" i="1"/>
  <c r="W178" i="1" s="1"/>
  <c r="H62" i="1"/>
  <c r="H178" i="1" s="1"/>
  <c r="P62" i="1"/>
  <c r="P178" i="1" s="1"/>
  <c r="AQ62" i="1"/>
  <c r="AQ178" i="1" s="1"/>
  <c r="D62" i="1"/>
  <c r="D178" i="1" s="1"/>
  <c r="AP62" i="1"/>
  <c r="AP178" i="1" s="1"/>
  <c r="AX62" i="1"/>
  <c r="I62" i="1"/>
  <c r="I178" i="1" s="1"/>
  <c r="AR62" i="1"/>
  <c r="AR178" i="1" s="1"/>
  <c r="AI62" i="1"/>
  <c r="AI178" i="1" s="1"/>
  <c r="AM62" i="1"/>
  <c r="AM178" i="1" s="1"/>
  <c r="O62" i="1"/>
  <c r="O178" i="1" s="1"/>
  <c r="X62" i="1"/>
  <c r="X178" i="1" s="1"/>
  <c r="AF62" i="1"/>
  <c r="AF178" i="1" s="1"/>
  <c r="T62" i="1"/>
  <c r="T178" i="1" s="1"/>
  <c r="Z62" i="1"/>
  <c r="Z178" i="1" s="1"/>
  <c r="AH62" i="1"/>
  <c r="AU62" i="1"/>
  <c r="AU178" i="1" s="1"/>
  <c r="AN62" i="1"/>
  <c r="AN178" i="1" s="1"/>
  <c r="AV62" i="1"/>
  <c r="AV178" i="1" s="1"/>
  <c r="AJ62" i="1"/>
  <c r="AY62" i="1"/>
  <c r="AY178" i="1" s="1"/>
  <c r="C62" i="1"/>
  <c r="C178" i="1" s="1"/>
  <c r="K62" i="1"/>
  <c r="K178" i="1" s="1"/>
  <c r="J62" i="1"/>
  <c r="J178" i="1" s="1"/>
  <c r="R62" i="1"/>
  <c r="R178" i="1" s="1"/>
  <c r="G62" i="1"/>
  <c r="G178" i="1" s="1"/>
  <c r="AE62" i="1"/>
  <c r="AE178" i="1" s="1"/>
  <c r="AZ62" i="1"/>
  <c r="AZ178" i="1" s="1"/>
  <c r="M62" i="1"/>
  <c r="E62" i="1"/>
  <c r="E178" i="1" s="1"/>
  <c r="AJ131" i="1"/>
  <c r="AN131" i="1"/>
  <c r="AV131" i="1"/>
  <c r="F131" i="1"/>
  <c r="AE131" i="1"/>
  <c r="AS131" i="1"/>
  <c r="C131" i="1"/>
  <c r="P131" i="1"/>
  <c r="N131" i="1"/>
  <c r="W131" i="1"/>
  <c r="U131" i="1"/>
  <c r="AH131" i="1"/>
  <c r="AQ131" i="1"/>
  <c r="AZ131" i="1"/>
  <c r="L131" i="1"/>
  <c r="I131" i="1"/>
  <c r="V131" i="1"/>
  <c r="AU131" i="1"/>
  <c r="J131" i="1"/>
  <c r="S131" i="1"/>
  <c r="Q131" i="1"/>
  <c r="AD131" i="1"/>
  <c r="AM131" i="1"/>
  <c r="AK131" i="1"/>
  <c r="AX131" i="1"/>
  <c r="D131" i="1"/>
  <c r="H131" i="1"/>
  <c r="AB131" i="1"/>
  <c r="Y131" i="1"/>
  <c r="AL131" i="1"/>
  <c r="M131" i="1"/>
  <c r="Z131" i="1"/>
  <c r="AI131" i="1"/>
  <c r="AG131" i="1"/>
  <c r="AT131" i="1"/>
  <c r="AF131" i="1"/>
  <c r="BA131" i="1"/>
  <c r="K131" i="1"/>
  <c r="T131" i="1"/>
  <c r="X131" i="1"/>
  <c r="AR131" i="1"/>
  <c r="AO131" i="1"/>
  <c r="O131" i="1"/>
  <c r="AC131" i="1"/>
  <c r="AP131" i="1"/>
  <c r="AY131" i="1"/>
  <c r="AW131" i="1"/>
  <c r="G131" i="1"/>
  <c r="E131" i="1"/>
  <c r="R131" i="1"/>
  <c r="AA131" i="1"/>
  <c r="AY116" i="1"/>
  <c r="I116" i="1"/>
  <c r="AD116" i="1"/>
  <c r="D116" i="1"/>
  <c r="Q116" i="1"/>
  <c r="E116" i="1"/>
  <c r="K116" i="1"/>
  <c r="X116" i="1"/>
  <c r="AX116" i="1"/>
  <c r="AT116" i="1"/>
  <c r="L116" i="1"/>
  <c r="AG116" i="1"/>
  <c r="C116" i="1"/>
  <c r="P116" i="1"/>
  <c r="AO116" i="1"/>
  <c r="G116" i="1"/>
  <c r="T116" i="1"/>
  <c r="AW116" i="1"/>
  <c r="AK116" i="1"/>
  <c r="AA116" i="1"/>
  <c r="AN116" i="1"/>
  <c r="M116" i="1"/>
  <c r="O116" i="1"/>
  <c r="AB116" i="1"/>
  <c r="Z116" i="1"/>
  <c r="S116" i="1"/>
  <c r="AF116" i="1"/>
  <c r="AH116" i="1"/>
  <c r="W116" i="1"/>
  <c r="AJ116" i="1"/>
  <c r="J116" i="1"/>
  <c r="F116" i="1"/>
  <c r="AQ116" i="1"/>
  <c r="Y116" i="1"/>
  <c r="AS116" i="1"/>
  <c r="AE116" i="1"/>
  <c r="AR116" i="1"/>
  <c r="BA116" i="1"/>
  <c r="AI116" i="1"/>
  <c r="AV116" i="1"/>
  <c r="AC116" i="1"/>
  <c r="AM116" i="1"/>
  <c r="AZ116" i="1"/>
  <c r="AP116" i="1"/>
  <c r="AL116" i="1"/>
  <c r="H116" i="1"/>
  <c r="R116" i="1"/>
  <c r="N116" i="1"/>
  <c r="AU116" i="1"/>
  <c r="U116" i="1"/>
  <c r="V116" i="1"/>
  <c r="W109" i="1"/>
  <c r="X109" i="1"/>
  <c r="AT109" i="1"/>
  <c r="AA109" i="1"/>
  <c r="AW109" i="1"/>
  <c r="I109" i="1"/>
  <c r="AP109" i="1"/>
  <c r="L109" i="1"/>
  <c r="N109" i="1"/>
  <c r="AV109" i="1"/>
  <c r="AY109" i="1"/>
  <c r="AN109" i="1"/>
  <c r="AF109" i="1"/>
  <c r="AM109" i="1"/>
  <c r="AS109" i="1"/>
  <c r="P109" i="1"/>
  <c r="AQ109" i="1"/>
  <c r="H109" i="1"/>
  <c r="AD109" i="1"/>
  <c r="O109" i="1"/>
  <c r="AG109" i="1"/>
  <c r="AJ109" i="1"/>
  <c r="C109" i="1"/>
  <c r="Q109" i="1"/>
  <c r="T109" i="1"/>
  <c r="BA109" i="1"/>
  <c r="V109" i="1"/>
  <c r="D109" i="1"/>
  <c r="AK109" i="1"/>
  <c r="F109" i="1"/>
  <c r="AC109" i="1"/>
  <c r="AZ109" i="1"/>
  <c r="AE109" i="1"/>
  <c r="M109" i="1"/>
  <c r="E109" i="1"/>
  <c r="S109" i="1"/>
  <c r="AL109" i="1"/>
  <c r="AO109" i="1"/>
  <c r="G109" i="1"/>
  <c r="AR109" i="1"/>
  <c r="Y109" i="1"/>
  <c r="K109" i="1"/>
  <c r="AB109" i="1"/>
  <c r="AX109" i="1"/>
  <c r="U109" i="1"/>
  <c r="AU109" i="1"/>
  <c r="AH109" i="1"/>
  <c r="Z109" i="1"/>
  <c r="AI109" i="1"/>
  <c r="R109" i="1"/>
  <c r="J109" i="1"/>
  <c r="AI93" i="1"/>
  <c r="AQ93" i="1"/>
  <c r="G93" i="1"/>
  <c r="AM93" i="1"/>
  <c r="S93" i="1"/>
  <c r="AU93" i="1"/>
  <c r="O93" i="1"/>
  <c r="W93" i="1"/>
  <c r="AY93" i="1"/>
  <c r="K93" i="1"/>
  <c r="C93" i="1"/>
  <c r="F93" i="1"/>
  <c r="AO93" i="1"/>
  <c r="L93" i="1"/>
  <c r="Z93" i="1"/>
  <c r="AE93" i="1"/>
  <c r="N93" i="1"/>
  <c r="I93" i="1"/>
  <c r="AJ93" i="1"/>
  <c r="AX93" i="1"/>
  <c r="Q93" i="1"/>
  <c r="H93" i="1"/>
  <c r="V93" i="1"/>
  <c r="AS93" i="1"/>
  <c r="AB93" i="1"/>
  <c r="AP93" i="1"/>
  <c r="P93" i="1"/>
  <c r="AD93" i="1"/>
  <c r="M93" i="1"/>
  <c r="AZ93" i="1"/>
  <c r="BA93" i="1"/>
  <c r="X93" i="1"/>
  <c r="AL93" i="1"/>
  <c r="AG93" i="1"/>
  <c r="AR93" i="1"/>
  <c r="U93" i="1"/>
  <c r="AF93" i="1"/>
  <c r="AT93" i="1"/>
  <c r="D93" i="1"/>
  <c r="R93" i="1"/>
  <c r="Y93" i="1"/>
  <c r="AN93" i="1"/>
  <c r="E93" i="1"/>
  <c r="AA93" i="1"/>
  <c r="J93" i="1"/>
  <c r="AW93" i="1"/>
  <c r="AV93" i="1"/>
  <c r="AK93" i="1"/>
  <c r="T93" i="1"/>
  <c r="AH93" i="1"/>
  <c r="AC93" i="1"/>
  <c r="AI36" i="1"/>
  <c r="AI152" i="1" s="1"/>
  <c r="Q36" i="1"/>
  <c r="Q152" i="1" s="1"/>
  <c r="Z36" i="1"/>
  <c r="Z152" i="1" s="1"/>
  <c r="AA36" i="1"/>
  <c r="AA152" i="1" s="1"/>
  <c r="N36" i="1"/>
  <c r="N152" i="1" s="1"/>
  <c r="E36" i="1"/>
  <c r="E152" i="1" s="1"/>
  <c r="V36" i="1"/>
  <c r="V152" i="1" s="1"/>
  <c r="AR36" i="1"/>
  <c r="AR152" i="1" s="1"/>
  <c r="S36" i="1"/>
  <c r="S152" i="1" s="1"/>
  <c r="AH36" i="1"/>
  <c r="D36" i="1"/>
  <c r="G36" i="1"/>
  <c r="AF36" i="1"/>
  <c r="AF152" i="1" s="1"/>
  <c r="W36" i="1"/>
  <c r="W152" i="1" s="1"/>
  <c r="AD36" i="1"/>
  <c r="AD152" i="1" s="1"/>
  <c r="AN36" i="1"/>
  <c r="AG36" i="1"/>
  <c r="AG152" i="1" s="1"/>
  <c r="I36" i="1"/>
  <c r="I152" i="1" s="1"/>
  <c r="AP36" i="1"/>
  <c r="AP152" i="1" s="1"/>
  <c r="U36" i="1"/>
  <c r="U152" i="1" s="1"/>
  <c r="AK36" i="1"/>
  <c r="AK152" i="1" s="1"/>
  <c r="AL36" i="1"/>
  <c r="AL152" i="1" s="1"/>
  <c r="AB36" i="1"/>
  <c r="AB152" i="1" s="1"/>
  <c r="AZ36" i="1"/>
  <c r="P36" i="1"/>
  <c r="P152" i="1" s="1"/>
  <c r="C36" i="1"/>
  <c r="C152" i="1" s="1"/>
  <c r="AY36" i="1"/>
  <c r="AY152" i="1" s="1"/>
  <c r="AW36" i="1"/>
  <c r="AW152" i="1" s="1"/>
  <c r="Y36" i="1"/>
  <c r="Y152" i="1" s="1"/>
  <c r="M36" i="1"/>
  <c r="M152" i="1" s="1"/>
  <c r="BA36" i="1"/>
  <c r="BA152" i="1" s="1"/>
  <c r="AJ36" i="1"/>
  <c r="AJ152" i="1" s="1"/>
  <c r="L36" i="1"/>
  <c r="L152" i="1" s="1"/>
  <c r="AU36" i="1"/>
  <c r="AX36" i="1"/>
  <c r="AX152" i="1" s="1"/>
  <c r="T36" i="1"/>
  <c r="T152" i="1" s="1"/>
  <c r="X36" i="1"/>
  <c r="X152" i="1" s="1"/>
  <c r="H36" i="1"/>
  <c r="H152" i="1" s="1"/>
  <c r="O36" i="1"/>
  <c r="O152" i="1" s="1"/>
  <c r="AO36" i="1"/>
  <c r="AS36" i="1"/>
  <c r="AS152" i="1" s="1"/>
  <c r="J36" i="1"/>
  <c r="J152" i="1" s="1"/>
  <c r="K36" i="1"/>
  <c r="K152" i="1" s="1"/>
  <c r="F36" i="1"/>
  <c r="F152" i="1" s="1"/>
  <c r="AM36" i="1"/>
  <c r="AM152" i="1" s="1"/>
  <c r="AE36" i="1"/>
  <c r="AE152" i="1" s="1"/>
  <c r="R36" i="1"/>
  <c r="AC36" i="1"/>
  <c r="AV36" i="1"/>
  <c r="AV152" i="1" s="1"/>
  <c r="AQ36" i="1"/>
  <c r="AQ152" i="1" s="1"/>
  <c r="AT36" i="1"/>
  <c r="H98" i="1"/>
  <c r="Y98" i="1"/>
  <c r="BA98" i="1"/>
  <c r="AE98" i="1"/>
  <c r="I98" i="1"/>
  <c r="AK98" i="1"/>
  <c r="S98" i="1"/>
  <c r="AN98" i="1"/>
  <c r="AP98" i="1"/>
  <c r="G98" i="1"/>
  <c r="AS98" i="1"/>
  <c r="Z98" i="1"/>
  <c r="K98" i="1"/>
  <c r="AC98" i="1"/>
  <c r="AT98" i="1"/>
  <c r="Q98" i="1"/>
  <c r="AU98" i="1"/>
  <c r="AD98" i="1"/>
  <c r="V98" i="1"/>
  <c r="AI98" i="1"/>
  <c r="N98" i="1"/>
  <c r="F98" i="1"/>
  <c r="W98" i="1"/>
  <c r="T98" i="1"/>
  <c r="AV98" i="1"/>
  <c r="AA98" i="1"/>
  <c r="AX98" i="1"/>
  <c r="J98" i="1"/>
  <c r="AL98" i="1"/>
  <c r="M98" i="1"/>
  <c r="AZ98" i="1"/>
  <c r="AR98" i="1"/>
  <c r="AY98" i="1"/>
  <c r="AJ98" i="1"/>
  <c r="AB98" i="1"/>
  <c r="AM98" i="1"/>
  <c r="AO98" i="1"/>
  <c r="L98" i="1"/>
  <c r="AQ98" i="1"/>
  <c r="D98" i="1"/>
  <c r="AF98" i="1"/>
  <c r="O98" i="1"/>
  <c r="AH98" i="1"/>
  <c r="P98" i="1"/>
  <c r="C98" i="1"/>
  <c r="R98" i="1"/>
  <c r="U98" i="1"/>
  <c r="AW98" i="1"/>
  <c r="X98" i="1"/>
  <c r="E98" i="1"/>
  <c r="AG98" i="1"/>
  <c r="G110" i="1"/>
  <c r="AN110" i="1"/>
  <c r="K110" i="1"/>
  <c r="AQ110" i="1"/>
  <c r="AC110" i="1"/>
  <c r="AF110" i="1"/>
  <c r="AD110" i="1"/>
  <c r="BA110" i="1"/>
  <c r="H110" i="1"/>
  <c r="AW110" i="1"/>
  <c r="D110" i="1"/>
  <c r="AO110" i="1"/>
  <c r="AR110" i="1"/>
  <c r="AV110" i="1"/>
  <c r="U110" i="1"/>
  <c r="E110" i="1"/>
  <c r="AI110" i="1"/>
  <c r="J110" i="1"/>
  <c r="W110" i="1"/>
  <c r="AZ110" i="1"/>
  <c r="AA110" i="1"/>
  <c r="M110" i="1"/>
  <c r="L110" i="1"/>
  <c r="AK110" i="1"/>
  <c r="AX110" i="1"/>
  <c r="AG110" i="1"/>
  <c r="AP110" i="1"/>
  <c r="Y110" i="1"/>
  <c r="P110" i="1"/>
  <c r="AT110" i="1"/>
  <c r="X110" i="1"/>
  <c r="T110" i="1"/>
  <c r="I110" i="1"/>
  <c r="AU110" i="1"/>
  <c r="AS110" i="1"/>
  <c r="AJ110" i="1"/>
  <c r="F110" i="1"/>
  <c r="AM110" i="1"/>
  <c r="AL110" i="1"/>
  <c r="S110" i="1"/>
  <c r="AH110" i="1"/>
  <c r="N110" i="1"/>
  <c r="Z110" i="1"/>
  <c r="C110" i="1"/>
  <c r="AE110" i="1"/>
  <c r="R110" i="1"/>
  <c r="V110" i="1"/>
  <c r="O110" i="1"/>
  <c r="AY110" i="1"/>
  <c r="Q110" i="1"/>
  <c r="AB110" i="1"/>
  <c r="N123" i="1"/>
  <c r="AI123" i="1"/>
  <c r="R123" i="1"/>
  <c r="I123" i="1"/>
  <c r="AL123" i="1"/>
  <c r="Z123" i="1"/>
  <c r="D123" i="1"/>
  <c r="AF123" i="1"/>
  <c r="AE123" i="1"/>
  <c r="T123" i="1"/>
  <c r="P123" i="1"/>
  <c r="BA123" i="1"/>
  <c r="AY123" i="1"/>
  <c r="AD123" i="1"/>
  <c r="E123" i="1"/>
  <c r="AH123" i="1"/>
  <c r="Y123" i="1"/>
  <c r="M123" i="1"/>
  <c r="AP123" i="1"/>
  <c r="AJ123" i="1"/>
  <c r="AO123" i="1"/>
  <c r="H123" i="1"/>
  <c r="AV123" i="1"/>
  <c r="AS123" i="1"/>
  <c r="O123" i="1"/>
  <c r="Q123" i="1"/>
  <c r="AT123" i="1"/>
  <c r="U123" i="1"/>
  <c r="AX123" i="1"/>
  <c r="F123" i="1"/>
  <c r="AC123" i="1"/>
  <c r="AA123" i="1"/>
  <c r="W123" i="1"/>
  <c r="L123" i="1"/>
  <c r="AN123" i="1"/>
  <c r="G123" i="1"/>
  <c r="AZ123" i="1"/>
  <c r="AR123" i="1"/>
  <c r="AG123" i="1"/>
  <c r="C123" i="1"/>
  <c r="AK123" i="1"/>
  <c r="K123" i="1"/>
  <c r="V123" i="1"/>
  <c r="J123" i="1"/>
  <c r="S123" i="1"/>
  <c r="AW123" i="1"/>
  <c r="AQ123" i="1"/>
  <c r="AU123" i="1"/>
  <c r="AM123" i="1"/>
  <c r="AB123" i="1"/>
  <c r="X123" i="1"/>
  <c r="AY41" i="1"/>
  <c r="AY157" i="1" s="1"/>
  <c r="Q41" i="1"/>
  <c r="G41" i="1"/>
  <c r="AG41" i="1"/>
  <c r="C41" i="1"/>
  <c r="C157" i="1" s="1"/>
  <c r="AP41" i="1"/>
  <c r="AD41" i="1"/>
  <c r="N41" i="1"/>
  <c r="AL41" i="1"/>
  <c r="AL157" i="1" s="1"/>
  <c r="AU41" i="1"/>
  <c r="AW41" i="1"/>
  <c r="M41" i="1"/>
  <c r="J41" i="1"/>
  <c r="D41" i="1"/>
  <c r="AE41" i="1"/>
  <c r="L41" i="1"/>
  <c r="O41" i="1"/>
  <c r="O157" i="1" s="1"/>
  <c r="V41" i="1"/>
  <c r="AF41" i="1"/>
  <c r="AF157" i="1" s="1"/>
  <c r="S41" i="1"/>
  <c r="S157" i="1" s="1"/>
  <c r="AQ41" i="1"/>
  <c r="AO41" i="1"/>
  <c r="AK41" i="1"/>
  <c r="Z41" i="1"/>
  <c r="Z157" i="1" s="1"/>
  <c r="AZ41" i="1"/>
  <c r="AA41" i="1"/>
  <c r="AA157" i="1" s="1"/>
  <c r="AI41" i="1"/>
  <c r="W41" i="1"/>
  <c r="W157" i="1" s="1"/>
  <c r="H41" i="1"/>
  <c r="H157" i="1" s="1"/>
  <c r="AX41" i="1"/>
  <c r="AX157" i="1" s="1"/>
  <c r="E41" i="1"/>
  <c r="E157" i="1" s="1"/>
  <c r="AB41" i="1"/>
  <c r="F41" i="1"/>
  <c r="F157" i="1" s="1"/>
  <c r="K41" i="1"/>
  <c r="AS41" i="1"/>
  <c r="AN41" i="1"/>
  <c r="AN157" i="1" s="1"/>
  <c r="X41" i="1"/>
  <c r="AC41" i="1"/>
  <c r="AC157" i="1" s="1"/>
  <c r="T41" i="1"/>
  <c r="T157" i="1" s="1"/>
  <c r="BA41" i="1"/>
  <c r="U41" i="1"/>
  <c r="AR41" i="1"/>
  <c r="AR157" i="1" s="1"/>
  <c r="AM41" i="1"/>
  <c r="AM157" i="1" s="1"/>
  <c r="I41" i="1"/>
  <c r="I157" i="1" s="1"/>
  <c r="AH41" i="1"/>
  <c r="AJ41" i="1"/>
  <c r="R41" i="1"/>
  <c r="AT41" i="1"/>
  <c r="Y41" i="1"/>
  <c r="P41" i="1"/>
  <c r="P157" i="1" s="1"/>
  <c r="AV41" i="1"/>
  <c r="AV157" i="1" s="1"/>
  <c r="Z133" i="1"/>
  <c r="AQ133" i="1"/>
  <c r="AK133" i="1"/>
  <c r="N133" i="1"/>
  <c r="AE133" i="1"/>
  <c r="M133" i="1"/>
  <c r="AP133" i="1"/>
  <c r="D133" i="1"/>
  <c r="H133" i="1"/>
  <c r="AD133" i="1"/>
  <c r="AU133" i="1"/>
  <c r="K133" i="1"/>
  <c r="AJ133" i="1"/>
  <c r="AN133" i="1"/>
  <c r="AT133" i="1"/>
  <c r="J133" i="1"/>
  <c r="AA133" i="1"/>
  <c r="E133" i="1"/>
  <c r="AG133" i="1"/>
  <c r="O133" i="1"/>
  <c r="AR133" i="1"/>
  <c r="P133" i="1"/>
  <c r="R133" i="1"/>
  <c r="S133" i="1"/>
  <c r="AZ133" i="1"/>
  <c r="Q133" i="1"/>
  <c r="AL133" i="1"/>
  <c r="AB133" i="1"/>
  <c r="AV133" i="1"/>
  <c r="AH133" i="1"/>
  <c r="AI133" i="1"/>
  <c r="U133" i="1"/>
  <c r="AW133" i="1"/>
  <c r="G133" i="1"/>
  <c r="AC133" i="1"/>
  <c r="L133" i="1"/>
  <c r="I133" i="1"/>
  <c r="AX133" i="1"/>
  <c r="AY133" i="1"/>
  <c r="BA133" i="1"/>
  <c r="F133" i="1"/>
  <c r="W133" i="1"/>
  <c r="AF133" i="1"/>
  <c r="AS133" i="1"/>
  <c r="AO133" i="1"/>
  <c r="C133" i="1"/>
  <c r="T133" i="1"/>
  <c r="X133" i="1"/>
  <c r="V133" i="1"/>
  <c r="AM133" i="1"/>
  <c r="Y133" i="1"/>
  <c r="AU126" i="1"/>
  <c r="AY126" i="1"/>
  <c r="K126" i="1"/>
  <c r="AZ126" i="1"/>
  <c r="N126" i="1"/>
  <c r="H126" i="1"/>
  <c r="U126" i="1"/>
  <c r="AH126" i="1"/>
  <c r="AB126" i="1"/>
  <c r="AO126" i="1"/>
  <c r="P126" i="1"/>
  <c r="AC126" i="1"/>
  <c r="AP126" i="1"/>
  <c r="C126" i="1"/>
  <c r="G126" i="1"/>
  <c r="D126" i="1"/>
  <c r="Q126" i="1"/>
  <c r="AD126" i="1"/>
  <c r="X126" i="1"/>
  <c r="AK126" i="1"/>
  <c r="AX126" i="1"/>
  <c r="AR126" i="1"/>
  <c r="F126" i="1"/>
  <c r="AF126" i="1"/>
  <c r="AS126" i="1"/>
  <c r="O126" i="1"/>
  <c r="S126" i="1"/>
  <c r="W126" i="1"/>
  <c r="T126" i="1"/>
  <c r="AG126" i="1"/>
  <c r="AT126" i="1"/>
  <c r="AN126" i="1"/>
  <c r="BA126" i="1"/>
  <c r="AQ126" i="1"/>
  <c r="I126" i="1"/>
  <c r="V126" i="1"/>
  <c r="AV126" i="1"/>
  <c r="J126" i="1"/>
  <c r="AE126" i="1"/>
  <c r="AI126" i="1"/>
  <c r="AM126" i="1"/>
  <c r="AJ126" i="1"/>
  <c r="AW126" i="1"/>
  <c r="AA126" i="1"/>
  <c r="E126" i="1"/>
  <c r="R126" i="1"/>
  <c r="L126" i="1"/>
  <c r="Y126" i="1"/>
  <c r="AL126" i="1"/>
  <c r="M126" i="1"/>
  <c r="Z126" i="1"/>
  <c r="I128" i="1"/>
  <c r="AC128" i="1"/>
  <c r="AW128" i="1"/>
  <c r="AT128" i="1"/>
  <c r="H128" i="1"/>
  <c r="R128" i="1"/>
  <c r="AE128" i="1"/>
  <c r="AR128" i="1"/>
  <c r="AL128" i="1"/>
  <c r="AY128" i="1"/>
  <c r="U128" i="1"/>
  <c r="G128" i="1"/>
  <c r="T128" i="1"/>
  <c r="Y128" i="1"/>
  <c r="AS128" i="1"/>
  <c r="AK128" i="1"/>
  <c r="K128" i="1"/>
  <c r="X128" i="1"/>
  <c r="AH128" i="1"/>
  <c r="AU128" i="1"/>
  <c r="E128" i="1"/>
  <c r="C128" i="1"/>
  <c r="P128" i="1"/>
  <c r="J128" i="1"/>
  <c r="W128" i="1"/>
  <c r="AJ128" i="1"/>
  <c r="AO128" i="1"/>
  <c r="Q128" i="1"/>
  <c r="N128" i="1"/>
  <c r="AA128" i="1"/>
  <c r="AN128" i="1"/>
  <c r="AX128" i="1"/>
  <c r="L128" i="1"/>
  <c r="F128" i="1"/>
  <c r="S128" i="1"/>
  <c r="AF128" i="1"/>
  <c r="Z128" i="1"/>
  <c r="AM128" i="1"/>
  <c r="AZ128" i="1"/>
  <c r="M128" i="1"/>
  <c r="AG128" i="1"/>
  <c r="AD128" i="1"/>
  <c r="AQ128" i="1"/>
  <c r="BA128" i="1"/>
  <c r="O128" i="1"/>
  <c r="AB128" i="1"/>
  <c r="V128" i="1"/>
  <c r="AI128" i="1"/>
  <c r="AV128" i="1"/>
  <c r="AP128" i="1"/>
  <c r="D128" i="1"/>
  <c r="AN67" i="1"/>
  <c r="AN183" i="1" s="1"/>
  <c r="F67" i="1"/>
  <c r="F183" i="1" s="1"/>
  <c r="AW67" i="1"/>
  <c r="AW183" i="1" s="1"/>
  <c r="G67" i="1"/>
  <c r="AD67" i="1"/>
  <c r="AD183" i="1" s="1"/>
  <c r="Q67" i="1"/>
  <c r="Q183" i="1" s="1"/>
  <c r="AC67" i="1"/>
  <c r="AC183" i="1" s="1"/>
  <c r="AZ67" i="1"/>
  <c r="AZ183" i="1" s="1"/>
  <c r="Y67" i="1"/>
  <c r="Y183" i="1" s="1"/>
  <c r="O67" i="1"/>
  <c r="O183" i="1" s="1"/>
  <c r="BA67" i="1"/>
  <c r="BA183" i="1" s="1"/>
  <c r="AL67" i="1"/>
  <c r="AL183" i="1" s="1"/>
  <c r="V67" i="1"/>
  <c r="V183" i="1" s="1"/>
  <c r="AX67" i="1"/>
  <c r="X67" i="1"/>
  <c r="X183" i="1" s="1"/>
  <c r="N67" i="1"/>
  <c r="AP67" i="1"/>
  <c r="AP183" i="1" s="1"/>
  <c r="M67" i="1"/>
  <c r="AJ67" i="1"/>
  <c r="AJ183" i="1" s="1"/>
  <c r="I67" i="1"/>
  <c r="AV67" i="1"/>
  <c r="AV183" i="1" s="1"/>
  <c r="AH67" i="1"/>
  <c r="AH183" i="1" s="1"/>
  <c r="AG67" i="1"/>
  <c r="AG183" i="1" s="1"/>
  <c r="AE67" i="1"/>
  <c r="AE183" i="1" s="1"/>
  <c r="Z67" i="1"/>
  <c r="Z183" i="1" s="1"/>
  <c r="T67" i="1"/>
  <c r="AY67" i="1"/>
  <c r="AY183" i="1" s="1"/>
  <c r="AF67" i="1"/>
  <c r="AF183" i="1" s="1"/>
  <c r="R67" i="1"/>
  <c r="R183" i="1" s="1"/>
  <c r="AT67" i="1"/>
  <c r="AT183" i="1" s="1"/>
  <c r="H67" i="1"/>
  <c r="J67" i="1"/>
  <c r="J183" i="1" s="1"/>
  <c r="AS67" i="1"/>
  <c r="AS183" i="1" s="1"/>
  <c r="D67" i="1"/>
  <c r="D183" i="1" s="1"/>
  <c r="W67" i="1"/>
  <c r="W183" i="1" s="1"/>
  <c r="AO67" i="1"/>
  <c r="AO183" i="1" s="1"/>
  <c r="P67" i="1"/>
  <c r="P183" i="1" s="1"/>
  <c r="AU67" i="1"/>
  <c r="AU183" i="1" s="1"/>
  <c r="AR67" i="1"/>
  <c r="AR183" i="1" s="1"/>
  <c r="C67" i="1"/>
  <c r="AA67" i="1"/>
  <c r="AA183" i="1" s="1"/>
  <c r="AK67" i="1"/>
  <c r="AB67" i="1"/>
  <c r="AB183" i="1" s="1"/>
  <c r="K67" i="1"/>
  <c r="K183" i="1" s="1"/>
  <c r="U67" i="1"/>
  <c r="U183" i="1" s="1"/>
  <c r="L67" i="1"/>
  <c r="L183" i="1" s="1"/>
  <c r="AI67" i="1"/>
  <c r="AI183" i="1" s="1"/>
  <c r="AM67" i="1"/>
  <c r="AM183" i="1" s="1"/>
  <c r="E67" i="1"/>
  <c r="E183" i="1" s="1"/>
  <c r="AQ67" i="1"/>
  <c r="S67" i="1"/>
  <c r="S183" i="1" s="1"/>
  <c r="AF162" i="1" l="1"/>
  <c r="AD162" i="1"/>
  <c r="Y162" i="1"/>
  <c r="AC162" i="1"/>
  <c r="T193" i="1"/>
  <c r="I193" i="1"/>
  <c r="AG193" i="1"/>
  <c r="AE193" i="1"/>
  <c r="AD193" i="1"/>
  <c r="P194" i="1"/>
  <c r="AL194" i="1"/>
  <c r="AC194" i="1"/>
  <c r="N194" i="1"/>
  <c r="AI165" i="1"/>
  <c r="AY165" i="1"/>
  <c r="AG177" i="1"/>
  <c r="E177" i="1"/>
  <c r="X162" i="1"/>
  <c r="U162" i="1"/>
  <c r="E193" i="1"/>
  <c r="T194" i="1"/>
  <c r="AP194" i="1"/>
  <c r="L165" i="1"/>
  <c r="H165" i="1"/>
  <c r="AF165" i="1"/>
  <c r="G165" i="1"/>
  <c r="V177" i="1"/>
  <c r="AN177" i="1"/>
  <c r="K177" i="1"/>
  <c r="AQ177" i="1"/>
  <c r="S162" i="1"/>
  <c r="AQ162" i="1"/>
  <c r="AJ162" i="1"/>
  <c r="L193" i="1"/>
  <c r="AF193" i="1"/>
  <c r="J194" i="1"/>
  <c r="AS194" i="1"/>
  <c r="Q165" i="1"/>
  <c r="E165" i="1"/>
  <c r="N165" i="1"/>
  <c r="J165" i="1"/>
  <c r="U177" i="1"/>
  <c r="W177" i="1"/>
  <c r="AM177" i="1"/>
  <c r="AH159" i="1"/>
  <c r="AA159" i="1"/>
  <c r="AT159" i="1"/>
  <c r="G159" i="1"/>
  <c r="AG159" i="1"/>
  <c r="AB159" i="1"/>
  <c r="AI155" i="1"/>
  <c r="G155" i="1"/>
  <c r="U155" i="1"/>
  <c r="AO175" i="1"/>
  <c r="F175" i="1"/>
  <c r="AZ175" i="1"/>
  <c r="U175" i="1"/>
  <c r="AC175" i="1"/>
  <c r="M155" i="1"/>
  <c r="AU155" i="1"/>
  <c r="Q155" i="1"/>
  <c r="C175" i="1"/>
  <c r="AU175" i="1"/>
  <c r="AD155" i="1"/>
  <c r="AV155" i="1"/>
  <c r="AH155" i="1"/>
  <c r="AF155" i="1"/>
  <c r="X175" i="1"/>
  <c r="W175" i="1"/>
  <c r="I183" i="1"/>
  <c r="N183" i="1"/>
  <c r="G183" i="1"/>
  <c r="AC152" i="1"/>
  <c r="AO152" i="1"/>
  <c r="AZ152" i="1"/>
  <c r="AN152" i="1"/>
  <c r="G152" i="1"/>
  <c r="AX178" i="1"/>
  <c r="AG178" i="1"/>
  <c r="F178" i="1"/>
  <c r="Q173" i="1"/>
  <c r="AU173" i="1"/>
  <c r="AT173" i="1"/>
  <c r="D197" i="1"/>
  <c r="Y197" i="1"/>
  <c r="F197" i="1"/>
  <c r="N197" i="1"/>
  <c r="AR198" i="1"/>
  <c r="BA198" i="1"/>
  <c r="AR161" i="1"/>
  <c r="AJ161" i="1"/>
  <c r="C183" i="1"/>
  <c r="H183" i="1"/>
  <c r="AT152" i="1"/>
  <c r="R152" i="1"/>
  <c r="D152" i="1"/>
  <c r="M178" i="1"/>
  <c r="AD178" i="1"/>
  <c r="AT178" i="1"/>
  <c r="AK173" i="1"/>
  <c r="S194" i="1"/>
  <c r="AN194" i="1"/>
  <c r="I197" i="1"/>
  <c r="P197" i="1"/>
  <c r="BA197" i="1"/>
  <c r="M197" i="1"/>
  <c r="G198" i="1"/>
  <c r="AA198" i="1"/>
  <c r="AD198" i="1"/>
  <c r="BA161" i="1"/>
  <c r="AA161" i="1"/>
  <c r="S161" i="1"/>
  <c r="AD161" i="1"/>
  <c r="C161" i="1"/>
  <c r="M161" i="1"/>
  <c r="O161" i="1"/>
  <c r="AQ183" i="1"/>
  <c r="AK183" i="1"/>
  <c r="T183" i="1"/>
  <c r="M183" i="1"/>
  <c r="AX183" i="1"/>
  <c r="AJ157" i="1"/>
  <c r="K157" i="1"/>
  <c r="AU152" i="1"/>
  <c r="AH152" i="1"/>
  <c r="AJ178" i="1"/>
  <c r="AH178" i="1"/>
  <c r="AS178" i="1"/>
  <c r="Q178" i="1"/>
  <c r="R173" i="1"/>
  <c r="AO173" i="1"/>
  <c r="AY173" i="1"/>
  <c r="Z194" i="1"/>
  <c r="AS197" i="1"/>
  <c r="L197" i="1"/>
  <c r="V197" i="1"/>
  <c r="G154" i="1"/>
  <c r="AJ154" i="1"/>
  <c r="U154" i="1"/>
  <c r="AD154" i="1"/>
  <c r="G195" i="1"/>
  <c r="D195" i="1"/>
  <c r="AF195" i="1"/>
  <c r="E195" i="1"/>
  <c r="AP187" i="1"/>
  <c r="AL187" i="1"/>
  <c r="AI187" i="1"/>
  <c r="C198" i="1"/>
  <c r="W198" i="1"/>
  <c r="I198" i="1"/>
  <c r="AT198" i="1"/>
  <c r="U161" i="1"/>
  <c r="Y161" i="1"/>
  <c r="AS159" i="1"/>
  <c r="V159" i="1"/>
  <c r="P159" i="1"/>
  <c r="AZ159" i="1"/>
  <c r="AO157" i="1"/>
  <c r="AP157" i="1"/>
  <c r="J187" i="1"/>
  <c r="I187" i="1"/>
  <c r="V171" i="1"/>
  <c r="X171" i="1"/>
  <c r="AJ171" i="1"/>
  <c r="Z171" i="1"/>
  <c r="V157" i="1"/>
  <c r="D157" i="1"/>
  <c r="AU157" i="1"/>
  <c r="Q157" i="1"/>
  <c r="AH157" i="1"/>
  <c r="U157" i="1"/>
  <c r="J157" i="1"/>
  <c r="AT157" i="1"/>
  <c r="BA157" i="1"/>
  <c r="X157" i="1"/>
  <c r="AQ157" i="1"/>
  <c r="R157" i="1"/>
  <c r="AS157" i="1"/>
  <c r="AI157" i="1"/>
  <c r="AK157" i="1"/>
  <c r="AE157" i="1"/>
  <c r="AW157" i="1"/>
  <c r="AD157" i="1"/>
  <c r="G157" i="1"/>
  <c r="AS154" i="1"/>
  <c r="J154" i="1"/>
  <c r="V154" i="1"/>
  <c r="W154" i="1"/>
  <c r="AT195" i="1"/>
  <c r="AS195" i="1"/>
  <c r="AW187" i="1"/>
  <c r="AO187" i="1"/>
  <c r="W187" i="1"/>
  <c r="G187" i="1"/>
  <c r="D163" i="1"/>
  <c r="AO163" i="1"/>
  <c r="Q163" i="1"/>
  <c r="R163" i="1"/>
  <c r="G163" i="1"/>
  <c r="AL171" i="1"/>
  <c r="AY171" i="1"/>
  <c r="K159" i="1"/>
  <c r="E163" i="1"/>
  <c r="H163" i="1"/>
  <c r="Z159" i="1"/>
  <c r="O159" i="1"/>
  <c r="AF159" i="1"/>
  <c r="Y157" i="1"/>
  <c r="AZ157" i="1"/>
  <c r="AB157" i="1"/>
  <c r="L157" i="1"/>
  <c r="M157" i="1"/>
  <c r="N157" i="1"/>
  <c r="AG157" i="1"/>
  <c r="AP154" i="1"/>
  <c r="Q154" i="1"/>
  <c r="AN154" i="1"/>
  <c r="AM154" i="1"/>
  <c r="J195" i="1"/>
  <c r="AC195" i="1"/>
  <c r="Y187" i="1"/>
  <c r="X187" i="1"/>
  <c r="AJ187" i="1"/>
  <c r="BA187" i="1"/>
  <c r="AP163" i="1"/>
  <c r="O163" i="1"/>
  <c r="L163" i="1"/>
  <c r="G171" i="1"/>
  <c r="R171" i="1"/>
  <c r="E171" i="1"/>
  <c r="X159" i="1"/>
  <c r="AD159" i="1"/>
  <c r="AP159" i="1"/>
  <c r="W159" i="1"/>
  <c r="AZ171" i="1"/>
  <c r="AV171" i="1"/>
  <c r="AO171" i="1"/>
  <c r="C159" i="1"/>
  <c r="D159" i="1"/>
  <c r="AW155" i="1"/>
  <c r="V155" i="1"/>
  <c r="AT155" i="1"/>
  <c r="AS155" i="1"/>
  <c r="H175" i="1"/>
  <c r="AA175" i="1"/>
  <c r="AB175" i="1"/>
  <c r="U187" i="1"/>
  <c r="AR171" i="1"/>
  <c r="J171" i="1"/>
  <c r="AP171" i="1"/>
  <c r="AE171" i="1"/>
  <c r="AC171" i="1"/>
  <c r="W171" i="1"/>
  <c r="Y171" i="1"/>
  <c r="C171" i="1"/>
  <c r="F159" i="1"/>
  <c r="I159" i="1"/>
  <c r="AX159" i="1"/>
  <c r="U159" i="1"/>
  <c r="AQ159" i="1"/>
  <c r="AO155" i="1"/>
  <c r="AK155" i="1"/>
  <c r="AM175" i="1"/>
  <c r="AG175" i="1"/>
  <c r="D171" i="1"/>
  <c r="AK171" i="1"/>
  <c r="AM171" i="1"/>
  <c r="AT171" i="1"/>
  <c r="AI171" i="1"/>
  <c r="AY159" i="1"/>
  <c r="AN159" i="1"/>
  <c r="AW159" i="1"/>
  <c r="N155" i="1"/>
  <c r="AQ155" i="1"/>
  <c r="Z175" i="1"/>
  <c r="P175" i="1"/>
  <c r="O175" i="1"/>
  <c r="AY175" i="1"/>
  <c r="S171" i="1"/>
  <c r="N171" i="1"/>
  <c r="AH171" i="1"/>
  <c r="O171" i="1"/>
  <c r="AA171" i="1"/>
  <c r="I171" i="1"/>
  <c r="M171" i="1"/>
  <c r="AF171" i="1"/>
  <c r="AW171" i="1"/>
  <c r="Q171" i="1"/>
  <c r="BA171" i="1"/>
  <c r="AB168" i="1"/>
  <c r="T168" i="1"/>
  <c r="E168" i="1"/>
  <c r="AT168" i="1"/>
  <c r="AU168" i="1"/>
  <c r="I168" i="1"/>
  <c r="AD168" i="1"/>
  <c r="Z168" i="1"/>
  <c r="AZ168" i="1"/>
  <c r="AK168" i="1"/>
  <c r="AF168" i="1"/>
  <c r="G168" i="1"/>
  <c r="AF174" i="1"/>
  <c r="X174" i="1"/>
  <c r="D174" i="1"/>
  <c r="AZ174" i="1"/>
  <c r="Q174" i="1"/>
  <c r="S174" i="1"/>
  <c r="AJ174" i="1"/>
  <c r="AU174" i="1"/>
  <c r="L174" i="1"/>
  <c r="N174" i="1"/>
  <c r="R174" i="1"/>
  <c r="AV174" i="1"/>
  <c r="I174" i="1"/>
  <c r="Y156" i="1"/>
  <c r="AM156" i="1"/>
  <c r="C156" i="1"/>
  <c r="W156" i="1"/>
  <c r="AC156" i="1"/>
  <c r="AW156" i="1"/>
  <c r="AH168" i="1"/>
  <c r="AL168" i="1"/>
  <c r="S168" i="1"/>
  <c r="Q168" i="1"/>
  <c r="H168" i="1"/>
  <c r="D168" i="1"/>
  <c r="BA168" i="1"/>
  <c r="AN168" i="1"/>
  <c r="AA168" i="1"/>
  <c r="W168" i="1"/>
  <c r="AG168" i="1"/>
  <c r="K168" i="1"/>
  <c r="AJ168" i="1"/>
  <c r="AD174" i="1"/>
  <c r="H174" i="1"/>
  <c r="AB174" i="1"/>
  <c r="C174" i="1"/>
  <c r="AT174" i="1"/>
  <c r="E174" i="1"/>
  <c r="AR174" i="1"/>
  <c r="M174" i="1"/>
  <c r="V174" i="1"/>
  <c r="AW174" i="1"/>
  <c r="AC174" i="1"/>
  <c r="F174" i="1"/>
  <c r="AP174" i="1"/>
  <c r="R156" i="1"/>
  <c r="J156" i="1"/>
  <c r="AQ168" i="1"/>
  <c r="U168" i="1"/>
  <c r="AO168" i="1"/>
  <c r="V168" i="1"/>
  <c r="AY168" i="1"/>
  <c r="R168" i="1"/>
  <c r="AW168" i="1"/>
  <c r="AV168" i="1"/>
  <c r="N168" i="1"/>
  <c r="O168" i="1"/>
  <c r="X168" i="1"/>
  <c r="AC168" i="1"/>
  <c r="AM168" i="1"/>
  <c r="AK174" i="1"/>
  <c r="AS174" i="1"/>
  <c r="Z174" i="1"/>
  <c r="J174" i="1"/>
  <c r="BA174" i="1"/>
  <c r="T174" i="1"/>
  <c r="AM174" i="1"/>
  <c r="AL174" i="1"/>
  <c r="K174" i="1"/>
  <c r="Y174" i="1"/>
  <c r="AI174" i="1"/>
  <c r="AX174" i="1"/>
  <c r="AG174" i="1"/>
  <c r="AY156" i="1"/>
  <c r="X156" i="1"/>
  <c r="BA156" i="1"/>
  <c r="P168" i="1"/>
  <c r="F168" i="1"/>
  <c r="Y168" i="1"/>
  <c r="J168" i="1"/>
  <c r="L168" i="1"/>
  <c r="AE168" i="1"/>
  <c r="AP168" i="1"/>
  <c r="AI168" i="1"/>
  <c r="M168" i="1"/>
  <c r="AX168" i="1"/>
  <c r="C168" i="1"/>
  <c r="AR168" i="1"/>
  <c r="AS168" i="1"/>
  <c r="AE174" i="1"/>
  <c r="AH174" i="1"/>
  <c r="AN174" i="1"/>
  <c r="W174" i="1"/>
  <c r="AA174" i="1"/>
  <c r="AY174" i="1"/>
  <c r="O174" i="1"/>
  <c r="AO174" i="1"/>
  <c r="G174" i="1"/>
  <c r="AQ174" i="1"/>
  <c r="U174" i="1"/>
  <c r="P174" i="1"/>
  <c r="AI156" i="1"/>
  <c r="Q156" i="1"/>
  <c r="AS156" i="1"/>
  <c r="AE156" i="1"/>
  <c r="T156" i="1"/>
  <c r="AF156" i="1"/>
  <c r="F156" i="1"/>
  <c r="Z156" i="1"/>
  <c r="M156" i="1"/>
  <c r="AX156" i="1"/>
  <c r="AN156" i="1"/>
  <c r="AJ156" i="1"/>
  <c r="AZ156" i="1"/>
  <c r="AR167" i="1"/>
  <c r="H167" i="1"/>
  <c r="AV167" i="1"/>
  <c r="W167" i="1"/>
  <c r="N167" i="1"/>
  <c r="T167" i="1"/>
  <c r="Z167" i="1"/>
  <c r="AB167" i="1"/>
  <c r="AW167" i="1"/>
  <c r="V167" i="1"/>
  <c r="G167" i="1"/>
  <c r="E167" i="1"/>
  <c r="AF167" i="1"/>
  <c r="AP158" i="1"/>
  <c r="O158" i="1"/>
  <c r="V158" i="1"/>
  <c r="L158" i="1"/>
  <c r="AF158" i="1"/>
  <c r="R158" i="1"/>
  <c r="Q158" i="1"/>
  <c r="AT158" i="1"/>
  <c r="N158" i="1"/>
  <c r="AI158" i="1"/>
  <c r="K158" i="1"/>
  <c r="AA158" i="1"/>
  <c r="AW158" i="1"/>
  <c r="AN184" i="1"/>
  <c r="X184" i="1"/>
  <c r="AL184" i="1"/>
  <c r="T184" i="1"/>
  <c r="L184" i="1"/>
  <c r="K184" i="1"/>
  <c r="AB184" i="1"/>
  <c r="D184" i="1"/>
  <c r="BA184" i="1"/>
  <c r="AE184" i="1"/>
  <c r="V184" i="1"/>
  <c r="AA184" i="1"/>
  <c r="J184" i="1"/>
  <c r="E160" i="1"/>
  <c r="I160" i="1"/>
  <c r="X160" i="1"/>
  <c r="AE160" i="1"/>
  <c r="M160" i="1"/>
  <c r="AO160" i="1"/>
  <c r="U160" i="1"/>
  <c r="AW160" i="1"/>
  <c r="AS160" i="1"/>
  <c r="BA160" i="1"/>
  <c r="R160" i="1"/>
  <c r="Z160" i="1"/>
  <c r="AG151" i="1"/>
  <c r="C151" i="1"/>
  <c r="V151" i="1"/>
  <c r="AS151" i="1"/>
  <c r="AA151" i="1"/>
  <c r="AD151" i="1"/>
  <c r="AU151" i="1"/>
  <c r="K151" i="1"/>
  <c r="N151" i="1"/>
  <c r="O151" i="1"/>
  <c r="S151" i="1"/>
  <c r="J151" i="1"/>
  <c r="U151" i="1"/>
  <c r="AS200" i="1"/>
  <c r="F200" i="1"/>
  <c r="AD200" i="1"/>
  <c r="E200" i="1"/>
  <c r="I200" i="1"/>
  <c r="AL200" i="1"/>
  <c r="H200" i="1"/>
  <c r="T200" i="1"/>
  <c r="AV200" i="1"/>
  <c r="AI200" i="1"/>
  <c r="Z200" i="1"/>
  <c r="O200" i="1"/>
  <c r="AD186" i="1"/>
  <c r="V186" i="1"/>
  <c r="C186" i="1"/>
  <c r="AZ186" i="1"/>
  <c r="AW186" i="1"/>
  <c r="W186" i="1"/>
  <c r="BA186" i="1"/>
  <c r="M186" i="1"/>
  <c r="AK186" i="1"/>
  <c r="AB186" i="1"/>
  <c r="P186" i="1"/>
  <c r="AX186" i="1"/>
  <c r="AV186" i="1"/>
  <c r="AB164" i="1"/>
  <c r="AZ164" i="1"/>
  <c r="AS164" i="1"/>
  <c r="AI164" i="1"/>
  <c r="AC164" i="1"/>
  <c r="G164" i="1"/>
  <c r="AD164" i="1"/>
  <c r="W164" i="1"/>
  <c r="J164" i="1"/>
  <c r="Y164" i="1"/>
  <c r="C164" i="1"/>
  <c r="L164" i="1"/>
  <c r="F164" i="1"/>
  <c r="D181" i="1"/>
  <c r="P181" i="1"/>
  <c r="AJ181" i="1"/>
  <c r="AN181" i="1"/>
  <c r="AD181" i="1"/>
  <c r="Y181" i="1"/>
  <c r="S181" i="1"/>
  <c r="AW181" i="1"/>
  <c r="AI181" i="1"/>
  <c r="AM181" i="1"/>
  <c r="W181" i="1"/>
  <c r="V181" i="1"/>
  <c r="AQ181" i="1"/>
  <c r="S169" i="1"/>
  <c r="X169" i="1"/>
  <c r="D169" i="1"/>
  <c r="U169" i="1"/>
  <c r="AZ169" i="1"/>
  <c r="AC169" i="1"/>
  <c r="AS169" i="1"/>
  <c r="AA169" i="1"/>
  <c r="AL169" i="1"/>
  <c r="J169" i="1"/>
  <c r="BA169" i="1"/>
  <c r="AT169" i="1"/>
  <c r="AM169" i="1"/>
  <c r="C179" i="1"/>
  <c r="T179" i="1"/>
  <c r="AU179" i="1"/>
  <c r="AI179" i="1"/>
  <c r="G179" i="1"/>
  <c r="AH179" i="1"/>
  <c r="AZ179" i="1"/>
  <c r="I179" i="1"/>
  <c r="BA179" i="1"/>
  <c r="Q179" i="1"/>
  <c r="E179" i="1"/>
  <c r="AM179" i="1"/>
  <c r="U179" i="1"/>
  <c r="G182" i="1"/>
  <c r="S182" i="1"/>
  <c r="AM182" i="1"/>
  <c r="O182" i="1"/>
  <c r="AV182" i="1"/>
  <c r="AO182" i="1"/>
  <c r="AP182" i="1"/>
  <c r="AR182" i="1"/>
  <c r="F182" i="1"/>
  <c r="AL182" i="1"/>
  <c r="AE182" i="1"/>
  <c r="P182" i="1"/>
  <c r="H182" i="1"/>
  <c r="AN189" i="1"/>
  <c r="AG189" i="1"/>
  <c r="F189" i="1"/>
  <c r="AZ189" i="1"/>
  <c r="O189" i="1"/>
  <c r="V189" i="1"/>
  <c r="W189" i="1"/>
  <c r="AE189" i="1"/>
  <c r="AH189" i="1"/>
  <c r="AO189" i="1"/>
  <c r="G189" i="1"/>
  <c r="I189" i="1"/>
  <c r="AQ189" i="1"/>
  <c r="AY153" i="1"/>
  <c r="E153" i="1"/>
  <c r="X153" i="1"/>
  <c r="AG153" i="1"/>
  <c r="AK153" i="1"/>
  <c r="H153" i="1"/>
  <c r="V153" i="1"/>
  <c r="U153" i="1"/>
  <c r="G153" i="1"/>
  <c r="AJ153" i="1"/>
  <c r="AM153" i="1"/>
  <c r="AS153" i="1"/>
  <c r="F153" i="1"/>
  <c r="R196" i="1"/>
  <c r="F196" i="1"/>
  <c r="AW196" i="1"/>
  <c r="V196" i="1"/>
  <c r="AG196" i="1"/>
  <c r="E196" i="1"/>
  <c r="X196" i="1"/>
  <c r="D196" i="1"/>
  <c r="AN196" i="1"/>
  <c r="AQ196" i="1"/>
  <c r="L196" i="1"/>
  <c r="I196" i="1"/>
  <c r="AI196" i="1"/>
  <c r="Y188" i="1"/>
  <c r="AI188" i="1"/>
  <c r="W188" i="1"/>
  <c r="AJ188" i="1"/>
  <c r="AK188" i="1"/>
  <c r="AA188" i="1"/>
  <c r="Q188" i="1"/>
  <c r="G188" i="1"/>
  <c r="O188" i="1"/>
  <c r="X188" i="1"/>
  <c r="AX188" i="1"/>
  <c r="N188" i="1"/>
  <c r="AE166" i="1"/>
  <c r="G166" i="1"/>
  <c r="W166" i="1"/>
  <c r="O166" i="1"/>
  <c r="AZ166" i="1"/>
  <c r="AW166" i="1"/>
  <c r="T166" i="1"/>
  <c r="AA166" i="1"/>
  <c r="AD166" i="1"/>
  <c r="AH166" i="1"/>
  <c r="J166" i="1"/>
  <c r="AR166" i="1"/>
  <c r="F166" i="1"/>
  <c r="M180" i="1"/>
  <c r="E180" i="1"/>
  <c r="BA180" i="1"/>
  <c r="AC180" i="1"/>
  <c r="W180" i="1"/>
  <c r="T180" i="1"/>
  <c r="L180" i="1"/>
  <c r="AP180" i="1"/>
  <c r="O180" i="1"/>
  <c r="AV180" i="1"/>
  <c r="H180" i="1"/>
  <c r="AN180" i="1"/>
  <c r="AA180" i="1"/>
  <c r="AQ185" i="1"/>
  <c r="AA185" i="1"/>
  <c r="Z185" i="1"/>
  <c r="AD185" i="1"/>
  <c r="AL185" i="1"/>
  <c r="S185" i="1"/>
  <c r="AN185" i="1"/>
  <c r="AU185" i="1"/>
  <c r="N185" i="1"/>
  <c r="BA185" i="1"/>
  <c r="AY185" i="1"/>
  <c r="AZ185" i="1"/>
  <c r="AT185" i="1"/>
  <c r="O170" i="1"/>
  <c r="Y170" i="1"/>
  <c r="AD170" i="1"/>
  <c r="I170" i="1"/>
  <c r="Z170" i="1"/>
  <c r="AS170" i="1"/>
  <c r="AA170" i="1"/>
  <c r="AJ170" i="1"/>
  <c r="AC170" i="1"/>
  <c r="N170" i="1"/>
  <c r="P170" i="1"/>
  <c r="AQ170" i="1"/>
  <c r="J191" i="1"/>
  <c r="S191" i="1"/>
  <c r="H191" i="1"/>
  <c r="AH191" i="1"/>
  <c r="W191" i="1"/>
  <c r="AQ191" i="1"/>
  <c r="AR191" i="1"/>
  <c r="I191" i="1"/>
  <c r="K191" i="1"/>
  <c r="X191" i="1"/>
  <c r="AE191" i="1"/>
  <c r="AG191" i="1"/>
  <c r="AJ191" i="1"/>
  <c r="S172" i="1"/>
  <c r="AB172" i="1"/>
  <c r="AP172" i="1"/>
  <c r="W172" i="1"/>
  <c r="U172" i="1"/>
  <c r="T172" i="1"/>
  <c r="Z172" i="1"/>
  <c r="V172" i="1"/>
  <c r="X172" i="1"/>
  <c r="AN172" i="1"/>
  <c r="AT172" i="1"/>
  <c r="F172" i="1"/>
  <c r="P172" i="1"/>
  <c r="J192" i="1"/>
  <c r="M192" i="1"/>
  <c r="S192" i="1"/>
  <c r="AL192" i="1"/>
  <c r="AI192" i="1"/>
  <c r="AY192" i="1"/>
  <c r="U192" i="1"/>
  <c r="AA192" i="1"/>
  <c r="AV192" i="1"/>
  <c r="AF192" i="1"/>
  <c r="AN192" i="1"/>
  <c r="K192" i="1"/>
  <c r="AK176" i="1"/>
  <c r="S176" i="1"/>
  <c r="AU176" i="1"/>
  <c r="J176" i="1"/>
  <c r="AC176" i="1"/>
  <c r="D176" i="1"/>
  <c r="AG176" i="1"/>
  <c r="AY176" i="1"/>
  <c r="AT176" i="1"/>
  <c r="AE176" i="1"/>
  <c r="AV176" i="1"/>
  <c r="AA176" i="1"/>
  <c r="AN176" i="1"/>
  <c r="Z190" i="1"/>
  <c r="R190" i="1"/>
  <c r="AQ190" i="1"/>
  <c r="Y190" i="1"/>
  <c r="AI190" i="1"/>
  <c r="W190" i="1"/>
  <c r="AG190" i="1"/>
  <c r="G190" i="1"/>
  <c r="M190" i="1"/>
  <c r="AK190" i="1"/>
  <c r="D190" i="1"/>
  <c r="I190" i="1"/>
  <c r="X190" i="1"/>
  <c r="AU199" i="1"/>
  <c r="Z199" i="1"/>
  <c r="C199" i="1"/>
  <c r="K199" i="1"/>
  <c r="AA199" i="1"/>
  <c r="AT199" i="1"/>
  <c r="G199" i="1"/>
  <c r="P199" i="1"/>
  <c r="AR199" i="1"/>
  <c r="W199" i="1"/>
  <c r="AO199" i="1"/>
  <c r="M199" i="1"/>
  <c r="R199" i="1"/>
  <c r="L156" i="1"/>
  <c r="N156" i="1"/>
  <c r="AL156" i="1"/>
  <c r="G156" i="1"/>
  <c r="AO156" i="1"/>
  <c r="AD156" i="1"/>
  <c r="S156" i="1"/>
  <c r="AR156" i="1"/>
  <c r="AA156" i="1"/>
  <c r="AK156" i="1"/>
  <c r="Q167" i="1"/>
  <c r="AT167" i="1"/>
  <c r="BA167" i="1"/>
  <c r="L167" i="1"/>
  <c r="O167" i="1"/>
  <c r="AJ167" i="1"/>
  <c r="D167" i="1"/>
  <c r="AN167" i="1"/>
  <c r="I167" i="1"/>
  <c r="AC167" i="1"/>
  <c r="M167" i="1"/>
  <c r="AQ167" i="1"/>
  <c r="S167" i="1"/>
  <c r="E158" i="1"/>
  <c r="M158" i="1"/>
  <c r="AZ158" i="1"/>
  <c r="Y158" i="1"/>
  <c r="AM158" i="1"/>
  <c r="D158" i="1"/>
  <c r="W158" i="1"/>
  <c r="AU158" i="1"/>
  <c r="P158" i="1"/>
  <c r="AE158" i="1"/>
  <c r="AG158" i="1"/>
  <c r="AX158" i="1"/>
  <c r="AO158" i="1"/>
  <c r="AD184" i="1"/>
  <c r="R184" i="1"/>
  <c r="G184" i="1"/>
  <c r="U184" i="1"/>
  <c r="W184" i="1"/>
  <c r="Q184" i="1"/>
  <c r="F184" i="1"/>
  <c r="AP184" i="1"/>
  <c r="N184" i="1"/>
  <c r="AX184" i="1"/>
  <c r="AV184" i="1"/>
  <c r="E184" i="1"/>
  <c r="K160" i="1"/>
  <c r="AN160" i="1"/>
  <c r="S160" i="1"/>
  <c r="O160" i="1"/>
  <c r="AX160" i="1"/>
  <c r="AV160" i="1"/>
  <c r="L160" i="1"/>
  <c r="Q160" i="1"/>
  <c r="AY160" i="1"/>
  <c r="AA160" i="1"/>
  <c r="H160" i="1"/>
  <c r="AP160" i="1"/>
  <c r="W160" i="1"/>
  <c r="D151" i="1"/>
  <c r="AH151" i="1"/>
  <c r="AT151" i="1"/>
  <c r="AB151" i="1"/>
  <c r="AN151" i="1"/>
  <c r="AK151" i="1"/>
  <c r="AJ151" i="1"/>
  <c r="X151" i="1"/>
  <c r="AZ151" i="1"/>
  <c r="Z151" i="1"/>
  <c r="AX151" i="1"/>
  <c r="AL151" i="1"/>
  <c r="AK200" i="1"/>
  <c r="AO200" i="1"/>
  <c r="AG200" i="1"/>
  <c r="BA200" i="1"/>
  <c r="V200" i="1"/>
  <c r="AT200" i="1"/>
  <c r="U200" i="1"/>
  <c r="AB200" i="1"/>
  <c r="AZ200" i="1"/>
  <c r="D200" i="1"/>
  <c r="AP200" i="1"/>
  <c r="AN200" i="1"/>
  <c r="P200" i="1"/>
  <c r="AT186" i="1"/>
  <c r="AA186" i="1"/>
  <c r="AP186" i="1"/>
  <c r="I186" i="1"/>
  <c r="AI186" i="1"/>
  <c r="AQ186" i="1"/>
  <c r="K186" i="1"/>
  <c r="AC186" i="1"/>
  <c r="T186" i="1"/>
  <c r="R186" i="1"/>
  <c r="Y186" i="1"/>
  <c r="Z186" i="1"/>
  <c r="AR186" i="1"/>
  <c r="AR164" i="1"/>
  <c r="Z164" i="1"/>
  <c r="AN164" i="1"/>
  <c r="R164" i="1"/>
  <c r="AQ164" i="1"/>
  <c r="AA164" i="1"/>
  <c r="AY164" i="1"/>
  <c r="V164" i="1"/>
  <c r="P164" i="1"/>
  <c r="E164" i="1"/>
  <c r="X164" i="1"/>
  <c r="M164" i="1"/>
  <c r="K164" i="1"/>
  <c r="X181" i="1"/>
  <c r="H181" i="1"/>
  <c r="AE181" i="1"/>
  <c r="BA181" i="1"/>
  <c r="AS181" i="1"/>
  <c r="K181" i="1"/>
  <c r="AO181" i="1"/>
  <c r="AU181" i="1"/>
  <c r="AX181" i="1"/>
  <c r="AA181" i="1"/>
  <c r="Z181" i="1"/>
  <c r="F181" i="1"/>
  <c r="F169" i="1"/>
  <c r="W169" i="1"/>
  <c r="AK169" i="1"/>
  <c r="H169" i="1"/>
  <c r="C169" i="1"/>
  <c r="P169" i="1"/>
  <c r="AR169" i="1"/>
  <c r="N169" i="1"/>
  <c r="AF169" i="1"/>
  <c r="AO169" i="1"/>
  <c r="L169" i="1"/>
  <c r="AI169" i="1"/>
  <c r="Q169" i="1"/>
  <c r="AE179" i="1"/>
  <c r="AJ179" i="1"/>
  <c r="V179" i="1"/>
  <c r="Z179" i="1"/>
  <c r="S179" i="1"/>
  <c r="D179" i="1"/>
  <c r="AS179" i="1"/>
  <c r="AL179" i="1"/>
  <c r="AV179" i="1"/>
  <c r="AW179" i="1"/>
  <c r="X179" i="1"/>
  <c r="AG179" i="1"/>
  <c r="AK179" i="1"/>
  <c r="AQ182" i="1"/>
  <c r="AA182" i="1"/>
  <c r="C182" i="1"/>
  <c r="AS182" i="1"/>
  <c r="L182" i="1"/>
  <c r="BA182" i="1"/>
  <c r="AZ182" i="1"/>
  <c r="Z182" i="1"/>
  <c r="AK182" i="1"/>
  <c r="E182" i="1"/>
  <c r="AT182" i="1"/>
  <c r="J182" i="1"/>
  <c r="AN182" i="1"/>
  <c r="P189" i="1"/>
  <c r="AR189" i="1"/>
  <c r="Y189" i="1"/>
  <c r="X189" i="1"/>
  <c r="AB189" i="1"/>
  <c r="L189" i="1"/>
  <c r="C189" i="1"/>
  <c r="AJ189" i="1"/>
  <c r="E189" i="1"/>
  <c r="R189" i="1"/>
  <c r="AK189" i="1"/>
  <c r="AX189" i="1"/>
  <c r="AX153" i="1"/>
  <c r="O153" i="1"/>
  <c r="AC153" i="1"/>
  <c r="Q153" i="1"/>
  <c r="J153" i="1"/>
  <c r="M153" i="1"/>
  <c r="BA153" i="1"/>
  <c r="R153" i="1"/>
  <c r="AV153" i="1"/>
  <c r="AL153" i="1"/>
  <c r="AH153" i="1"/>
  <c r="P153" i="1"/>
  <c r="AQ153" i="1"/>
  <c r="J196" i="1"/>
  <c r="O196" i="1"/>
  <c r="AS196" i="1"/>
  <c r="AE196" i="1"/>
  <c r="AC196" i="1"/>
  <c r="Q196" i="1"/>
  <c r="AV196" i="1"/>
  <c r="AM196" i="1"/>
  <c r="AR196" i="1"/>
  <c r="AZ196" i="1"/>
  <c r="P196" i="1"/>
  <c r="AT196" i="1"/>
  <c r="T196" i="1"/>
  <c r="E188" i="1"/>
  <c r="J188" i="1"/>
  <c r="AD188" i="1"/>
  <c r="F188" i="1"/>
  <c r="H188" i="1"/>
  <c r="AG188" i="1"/>
  <c r="AV188" i="1"/>
  <c r="AR188" i="1"/>
  <c r="AP188" i="1"/>
  <c r="D188" i="1"/>
  <c r="C188" i="1"/>
  <c r="AF188" i="1"/>
  <c r="AQ188" i="1"/>
  <c r="Q166" i="1"/>
  <c r="S166" i="1"/>
  <c r="AQ166" i="1"/>
  <c r="M166" i="1"/>
  <c r="AI166" i="1"/>
  <c r="X166" i="1"/>
  <c r="AJ166" i="1"/>
  <c r="AY166" i="1"/>
  <c r="Y166" i="1"/>
  <c r="AG166" i="1"/>
  <c r="AO166" i="1"/>
  <c r="E166" i="1"/>
  <c r="H166" i="1"/>
  <c r="U180" i="1"/>
  <c r="R180" i="1"/>
  <c r="G180" i="1"/>
  <c r="AK180" i="1"/>
  <c r="N180" i="1"/>
  <c r="AT180" i="1"/>
  <c r="Z180" i="1"/>
  <c r="C180" i="1"/>
  <c r="AQ180" i="1"/>
  <c r="AZ180" i="1"/>
  <c r="AR180" i="1"/>
  <c r="AI180" i="1"/>
  <c r="R185" i="1"/>
  <c r="E185" i="1"/>
  <c r="C185" i="1"/>
  <c r="X185" i="1"/>
  <c r="AE185" i="1"/>
  <c r="AC185" i="1"/>
  <c r="AR185" i="1"/>
  <c r="Y185" i="1"/>
  <c r="AJ185" i="1"/>
  <c r="F185" i="1"/>
  <c r="G185" i="1"/>
  <c r="AM185" i="1"/>
  <c r="M185" i="1"/>
  <c r="AT170" i="1"/>
  <c r="AB170" i="1"/>
  <c r="U170" i="1"/>
  <c r="Q170" i="1"/>
  <c r="K170" i="1"/>
  <c r="T170" i="1"/>
  <c r="X170" i="1"/>
  <c r="S170" i="1"/>
  <c r="AH170" i="1"/>
  <c r="AE170" i="1"/>
  <c r="D170" i="1"/>
  <c r="R170" i="1"/>
  <c r="M170" i="1"/>
  <c r="AT191" i="1"/>
  <c r="L191" i="1"/>
  <c r="AA191" i="1"/>
  <c r="AP191" i="1"/>
  <c r="AF191" i="1"/>
  <c r="N191" i="1"/>
  <c r="AM191" i="1"/>
  <c r="G191" i="1"/>
  <c r="T191" i="1"/>
  <c r="BA191" i="1"/>
  <c r="AZ191" i="1"/>
  <c r="AC191" i="1"/>
  <c r="Q191" i="1"/>
  <c r="AO172" i="1"/>
  <c r="R172" i="1"/>
  <c r="AI172" i="1"/>
  <c r="J172" i="1"/>
  <c r="E172" i="1"/>
  <c r="N172" i="1"/>
  <c r="AH172" i="1"/>
  <c r="BA172" i="1"/>
  <c r="O172" i="1"/>
  <c r="AM172" i="1"/>
  <c r="AE172" i="1"/>
  <c r="AV172" i="1"/>
  <c r="I192" i="1"/>
  <c r="C192" i="1"/>
  <c r="V192" i="1"/>
  <c r="AT192" i="1"/>
  <c r="AU192" i="1"/>
  <c r="Y192" i="1"/>
  <c r="AS192" i="1"/>
  <c r="AG192" i="1"/>
  <c r="L192" i="1"/>
  <c r="AJ192" i="1"/>
  <c r="T192" i="1"/>
  <c r="AH192" i="1"/>
  <c r="D192" i="1"/>
  <c r="G176" i="1"/>
  <c r="AR176" i="1"/>
  <c r="V176" i="1"/>
  <c r="AH176" i="1"/>
  <c r="U176" i="1"/>
  <c r="F176" i="1"/>
  <c r="M176" i="1"/>
  <c r="W176" i="1"/>
  <c r="AP176" i="1"/>
  <c r="C176" i="1"/>
  <c r="AQ176" i="1"/>
  <c r="H176" i="1"/>
  <c r="F190" i="1"/>
  <c r="AV190" i="1"/>
  <c r="AS190" i="1"/>
  <c r="AO190" i="1"/>
  <c r="AX190" i="1"/>
  <c r="S190" i="1"/>
  <c r="AC190" i="1"/>
  <c r="C190" i="1"/>
  <c r="T190" i="1"/>
  <c r="H190" i="1"/>
  <c r="U190" i="1"/>
  <c r="AF190" i="1"/>
  <c r="K190" i="1"/>
  <c r="X199" i="1"/>
  <c r="V199" i="1"/>
  <c r="N199" i="1"/>
  <c r="O199" i="1"/>
  <c r="AE199" i="1"/>
  <c r="AP199" i="1"/>
  <c r="I199" i="1"/>
  <c r="AG199" i="1"/>
  <c r="AF199" i="1"/>
  <c r="Q199" i="1"/>
  <c r="T199" i="1"/>
  <c r="AB199" i="1"/>
  <c r="D199" i="1"/>
  <c r="I156" i="1"/>
  <c r="E156" i="1"/>
  <c r="O156" i="1"/>
  <c r="AP156" i="1"/>
  <c r="AH156" i="1"/>
  <c r="AB156" i="1"/>
  <c r="V156" i="1"/>
  <c r="AT156" i="1"/>
  <c r="AV156" i="1"/>
  <c r="P156" i="1"/>
  <c r="AP167" i="1"/>
  <c r="P167" i="1"/>
  <c r="AM167" i="1"/>
  <c r="K167" i="1"/>
  <c r="AS167" i="1"/>
  <c r="C167" i="1"/>
  <c r="AU167" i="1"/>
  <c r="AA167" i="1"/>
  <c r="R167" i="1"/>
  <c r="AL167" i="1"/>
  <c r="X167" i="1"/>
  <c r="U167" i="1"/>
  <c r="AY158" i="1"/>
  <c r="BA158" i="1"/>
  <c r="AR158" i="1"/>
  <c r="S158" i="1"/>
  <c r="AB158" i="1"/>
  <c r="X158" i="1"/>
  <c r="F158" i="1"/>
  <c r="AH158" i="1"/>
  <c r="T158" i="1"/>
  <c r="J158" i="1"/>
  <c r="AQ158" i="1"/>
  <c r="I158" i="1"/>
  <c r="AH184" i="1"/>
  <c r="AU184" i="1"/>
  <c r="H184" i="1"/>
  <c r="Z184" i="1"/>
  <c r="AQ184" i="1"/>
  <c r="P184" i="1"/>
  <c r="AK184" i="1"/>
  <c r="AM184" i="1"/>
  <c r="AG184" i="1"/>
  <c r="Y184" i="1"/>
  <c r="C184" i="1"/>
  <c r="M184" i="1"/>
  <c r="AO184" i="1"/>
  <c r="Y160" i="1"/>
  <c r="AD160" i="1"/>
  <c r="AL160" i="1"/>
  <c r="T160" i="1"/>
  <c r="AK160" i="1"/>
  <c r="AR160" i="1"/>
  <c r="AF160" i="1"/>
  <c r="C160" i="1"/>
  <c r="G160" i="1"/>
  <c r="V160" i="1"/>
  <c r="N160" i="1"/>
  <c r="J160" i="1"/>
  <c r="D160" i="1"/>
  <c r="T151" i="1"/>
  <c r="AO151" i="1"/>
  <c r="AQ151" i="1"/>
  <c r="AE151" i="1"/>
  <c r="P151" i="1"/>
  <c r="AM151" i="1"/>
  <c r="L151" i="1"/>
  <c r="I151" i="1"/>
  <c r="W151" i="1"/>
  <c r="AF151" i="1"/>
  <c r="Y151" i="1"/>
  <c r="H151" i="1"/>
  <c r="E151" i="1"/>
  <c r="AQ200" i="1"/>
  <c r="N200" i="1"/>
  <c r="AC200" i="1"/>
  <c r="AH200" i="1"/>
  <c r="Q200" i="1"/>
  <c r="AX200" i="1"/>
  <c r="AM200" i="1"/>
  <c r="C200" i="1"/>
  <c r="S200" i="1"/>
  <c r="X200" i="1"/>
  <c r="AF200" i="1"/>
  <c r="AR200" i="1"/>
  <c r="AE200" i="1"/>
  <c r="AL186" i="1"/>
  <c r="E186" i="1"/>
  <c r="G186" i="1"/>
  <c r="AE186" i="1"/>
  <c r="AS186" i="1"/>
  <c r="J186" i="1"/>
  <c r="AG186" i="1"/>
  <c r="X186" i="1"/>
  <c r="AF186" i="1"/>
  <c r="Q186" i="1"/>
  <c r="L186" i="1"/>
  <c r="U186" i="1"/>
  <c r="AO164" i="1"/>
  <c r="Q164" i="1"/>
  <c r="AL164" i="1"/>
  <c r="AF164" i="1"/>
  <c r="D164" i="1"/>
  <c r="AG164" i="1"/>
  <c r="H164" i="1"/>
  <c r="AV164" i="1"/>
  <c r="AJ164" i="1"/>
  <c r="U164" i="1"/>
  <c r="AX164" i="1"/>
  <c r="T164" i="1"/>
  <c r="AF181" i="1"/>
  <c r="AR181" i="1"/>
  <c r="AB181" i="1"/>
  <c r="T181" i="1"/>
  <c r="U181" i="1"/>
  <c r="M181" i="1"/>
  <c r="E181" i="1"/>
  <c r="C181" i="1"/>
  <c r="AY181" i="1"/>
  <c r="L181" i="1"/>
  <c r="AT181" i="1"/>
  <c r="O181" i="1"/>
  <c r="AG181" i="1"/>
  <c r="AU169" i="1"/>
  <c r="AP169" i="1"/>
  <c r="AG169" i="1"/>
  <c r="AJ169" i="1"/>
  <c r="I169" i="1"/>
  <c r="G169" i="1"/>
  <c r="E169" i="1"/>
  <c r="Y169" i="1"/>
  <c r="O169" i="1"/>
  <c r="AN169" i="1"/>
  <c r="T169" i="1"/>
  <c r="V169" i="1"/>
  <c r="AT179" i="1"/>
  <c r="AD179" i="1"/>
  <c r="W179" i="1"/>
  <c r="AX179" i="1"/>
  <c r="J179" i="1"/>
  <c r="H179" i="1"/>
  <c r="Y179" i="1"/>
  <c r="AY179" i="1"/>
  <c r="AO179" i="1"/>
  <c r="L179" i="1"/>
  <c r="O179" i="1"/>
  <c r="AF179" i="1"/>
  <c r="M182" i="1"/>
  <c r="AH182" i="1"/>
  <c r="K182" i="1"/>
  <c r="W182" i="1"/>
  <c r="T182" i="1"/>
  <c r="AG182" i="1"/>
  <c r="AB182" i="1"/>
  <c r="U182" i="1"/>
  <c r="AX182" i="1"/>
  <c r="V182" i="1"/>
  <c r="Y182" i="1"/>
  <c r="AD182" i="1"/>
  <c r="AC182" i="1"/>
  <c r="AY189" i="1"/>
  <c r="AW189" i="1"/>
  <c r="AD189" i="1"/>
  <c r="H189" i="1"/>
  <c r="AP189" i="1"/>
  <c r="S189" i="1"/>
  <c r="AC189" i="1"/>
  <c r="AM189" i="1"/>
  <c r="AL189" i="1"/>
  <c r="Z189" i="1"/>
  <c r="BA189" i="1"/>
  <c r="J189" i="1"/>
  <c r="U189" i="1"/>
  <c r="W153" i="1"/>
  <c r="Y153" i="1"/>
  <c r="D153" i="1"/>
  <c r="N153" i="1"/>
  <c r="AE153" i="1"/>
  <c r="AR153" i="1"/>
  <c r="AD153" i="1"/>
  <c r="Z153" i="1"/>
  <c r="AW153" i="1"/>
  <c r="AT153" i="1"/>
  <c r="AP153" i="1"/>
  <c r="L153" i="1"/>
  <c r="AA153" i="1"/>
  <c r="BA196" i="1"/>
  <c r="Z196" i="1"/>
  <c r="AX196" i="1"/>
  <c r="AP196" i="1"/>
  <c r="AL196" i="1"/>
  <c r="M196" i="1"/>
  <c r="G196" i="1"/>
  <c r="K196" i="1"/>
  <c r="AB196" i="1"/>
  <c r="S196" i="1"/>
  <c r="W196" i="1"/>
  <c r="N196" i="1"/>
  <c r="AC188" i="1"/>
  <c r="P188" i="1"/>
  <c r="I188" i="1"/>
  <c r="T188" i="1"/>
  <c r="AZ188" i="1"/>
  <c r="K188" i="1"/>
  <c r="AM188" i="1"/>
  <c r="M188" i="1"/>
  <c r="AU188" i="1"/>
  <c r="AB188" i="1"/>
  <c r="Z188" i="1"/>
  <c r="AW188" i="1"/>
  <c r="AE188" i="1"/>
  <c r="BA166" i="1"/>
  <c r="V166" i="1"/>
  <c r="AS166" i="1"/>
  <c r="L166" i="1"/>
  <c r="P166" i="1"/>
  <c r="R166" i="1"/>
  <c r="AM166" i="1"/>
  <c r="Z166" i="1"/>
  <c r="AP166" i="1"/>
  <c r="AB166" i="1"/>
  <c r="K166" i="1"/>
  <c r="I166" i="1"/>
  <c r="AL166" i="1"/>
  <c r="AO180" i="1"/>
  <c r="I180" i="1"/>
  <c r="AG180" i="1"/>
  <c r="AM180" i="1"/>
  <c r="Y180" i="1"/>
  <c r="K180" i="1"/>
  <c r="AJ180" i="1"/>
  <c r="F180" i="1"/>
  <c r="J180" i="1"/>
  <c r="P180" i="1"/>
  <c r="V180" i="1"/>
  <c r="AH180" i="1"/>
  <c r="AY180" i="1"/>
  <c r="AG185" i="1"/>
  <c r="V185" i="1"/>
  <c r="AV185" i="1"/>
  <c r="AB185" i="1"/>
  <c r="I185" i="1"/>
  <c r="W185" i="1"/>
  <c r="L185" i="1"/>
  <c r="AI185" i="1"/>
  <c r="AX185" i="1"/>
  <c r="AO185" i="1"/>
  <c r="AF185" i="1"/>
  <c r="H185" i="1"/>
  <c r="AR170" i="1"/>
  <c r="C170" i="1"/>
  <c r="G170" i="1"/>
  <c r="AV170" i="1"/>
  <c r="E170" i="1"/>
  <c r="W170" i="1"/>
  <c r="H170" i="1"/>
  <c r="AW170" i="1"/>
  <c r="AF170" i="1"/>
  <c r="AY170" i="1"/>
  <c r="AO170" i="1"/>
  <c r="AK170" i="1"/>
  <c r="AI170" i="1"/>
  <c r="D191" i="1"/>
  <c r="E191" i="1"/>
  <c r="V191" i="1"/>
  <c r="AI191" i="1"/>
  <c r="Y191" i="1"/>
  <c r="Z191" i="1"/>
  <c r="AV191" i="1"/>
  <c r="AS191" i="1"/>
  <c r="AK191" i="1"/>
  <c r="AW191" i="1"/>
  <c r="F191" i="1"/>
  <c r="AN191" i="1"/>
  <c r="M191" i="1"/>
  <c r="AK172" i="1"/>
  <c r="AW172" i="1"/>
  <c r="AX172" i="1"/>
  <c r="AU172" i="1"/>
  <c r="K172" i="1"/>
  <c r="M172" i="1"/>
  <c r="AJ172" i="1"/>
  <c r="AC172" i="1"/>
  <c r="AG172" i="1"/>
  <c r="AD172" i="1"/>
  <c r="Q172" i="1"/>
  <c r="AQ172" i="1"/>
  <c r="C172" i="1"/>
  <c r="F192" i="1"/>
  <c r="AD192" i="1"/>
  <c r="AE192" i="1"/>
  <c r="AO192" i="1"/>
  <c r="AC192" i="1"/>
  <c r="AK192" i="1"/>
  <c r="N192" i="1"/>
  <c r="G192" i="1"/>
  <c r="H192" i="1"/>
  <c r="AQ192" i="1"/>
  <c r="AR192" i="1"/>
  <c r="W192" i="1"/>
  <c r="AB192" i="1"/>
  <c r="AD176" i="1"/>
  <c r="Y176" i="1"/>
  <c r="AZ176" i="1"/>
  <c r="AL176" i="1"/>
  <c r="I176" i="1"/>
  <c r="AI176" i="1"/>
  <c r="AO176" i="1"/>
  <c r="E176" i="1"/>
  <c r="L176" i="1"/>
  <c r="Q176" i="1"/>
  <c r="AB176" i="1"/>
  <c r="K176" i="1"/>
  <c r="AF176" i="1"/>
  <c r="AP190" i="1"/>
  <c r="AN190" i="1"/>
  <c r="AZ190" i="1"/>
  <c r="AU190" i="1"/>
  <c r="AA190" i="1"/>
  <c r="Q190" i="1"/>
  <c r="E190" i="1"/>
  <c r="AJ190" i="1"/>
  <c r="AR190" i="1"/>
  <c r="AD190" i="1"/>
  <c r="J190" i="1"/>
  <c r="AB190" i="1"/>
  <c r="AL190" i="1"/>
  <c r="AY199" i="1"/>
  <c r="AX199" i="1"/>
  <c r="J199" i="1"/>
  <c r="S199" i="1"/>
  <c r="H199" i="1"/>
  <c r="AL199" i="1"/>
  <c r="AZ199" i="1"/>
  <c r="AJ199" i="1"/>
  <c r="AC199" i="1"/>
  <c r="AW199" i="1"/>
  <c r="AM199" i="1"/>
  <c r="BA199" i="1"/>
  <c r="AQ156" i="1"/>
  <c r="AG156" i="1"/>
  <c r="H156" i="1"/>
  <c r="AU156" i="1"/>
  <c r="K156" i="1"/>
  <c r="U156" i="1"/>
  <c r="D156" i="1"/>
  <c r="AH167" i="1"/>
  <c r="F167" i="1"/>
  <c r="AZ167" i="1"/>
  <c r="AY167" i="1"/>
  <c r="Y167" i="1"/>
  <c r="AE167" i="1"/>
  <c r="J167" i="1"/>
  <c r="AX167" i="1"/>
  <c r="AO167" i="1"/>
  <c r="AD167" i="1"/>
  <c r="AG167" i="1"/>
  <c r="AK167" i="1"/>
  <c r="AI167" i="1"/>
  <c r="AV158" i="1"/>
  <c r="U158" i="1"/>
  <c r="AC158" i="1"/>
  <c r="AJ158" i="1"/>
  <c r="AL158" i="1"/>
  <c r="H158" i="1"/>
  <c r="C158" i="1"/>
  <c r="AN158" i="1"/>
  <c r="AD158" i="1"/>
  <c r="Z158" i="1"/>
  <c r="G158" i="1"/>
  <c r="AK158" i="1"/>
  <c r="AS158" i="1"/>
  <c r="O184" i="1"/>
  <c r="AT184" i="1"/>
  <c r="S184" i="1"/>
  <c r="AC184" i="1"/>
  <c r="AI184" i="1"/>
  <c r="AS184" i="1"/>
  <c r="AY184" i="1"/>
  <c r="AF184" i="1"/>
  <c r="AJ184" i="1"/>
  <c r="I184" i="1"/>
  <c r="AR184" i="1"/>
  <c r="AW184" i="1"/>
  <c r="AZ184" i="1"/>
  <c r="F160" i="1"/>
  <c r="AH160" i="1"/>
  <c r="AC160" i="1"/>
  <c r="AI160" i="1"/>
  <c r="P160" i="1"/>
  <c r="AJ160" i="1"/>
  <c r="AT160" i="1"/>
  <c r="AG160" i="1"/>
  <c r="AQ160" i="1"/>
  <c r="AZ160" i="1"/>
  <c r="AU160" i="1"/>
  <c r="AM160" i="1"/>
  <c r="AB160" i="1"/>
  <c r="AC151" i="1"/>
  <c r="AW151" i="1"/>
  <c r="R151" i="1"/>
  <c r="AR151" i="1"/>
  <c r="AY151" i="1"/>
  <c r="F151" i="1"/>
  <c r="AV151" i="1"/>
  <c r="AI151" i="1"/>
  <c r="AP151" i="1"/>
  <c r="M151" i="1"/>
  <c r="Q151" i="1"/>
  <c r="G151" i="1"/>
  <c r="BA151" i="1"/>
  <c r="AW200" i="1"/>
  <c r="R200" i="1"/>
  <c r="Y200" i="1"/>
  <c r="K200" i="1"/>
  <c r="M200" i="1"/>
  <c r="AA200" i="1"/>
  <c r="AJ200" i="1"/>
  <c r="G200" i="1"/>
  <c r="L200" i="1"/>
  <c r="AU200" i="1"/>
  <c r="AY200" i="1"/>
  <c r="W200" i="1"/>
  <c r="J200" i="1"/>
  <c r="N186" i="1"/>
  <c r="O186" i="1"/>
  <c r="F186" i="1"/>
  <c r="AY186" i="1"/>
  <c r="AN186" i="1"/>
  <c r="H186" i="1"/>
  <c r="AM186" i="1"/>
  <c r="AU186" i="1"/>
  <c r="S186" i="1"/>
  <c r="AO186" i="1"/>
  <c r="D186" i="1"/>
  <c r="AH186" i="1"/>
  <c r="AJ186" i="1"/>
  <c r="S164" i="1"/>
  <c r="AK164" i="1"/>
  <c r="BA164" i="1"/>
  <c r="N164" i="1"/>
  <c r="AP164" i="1"/>
  <c r="AE164" i="1"/>
  <c r="I164" i="1"/>
  <c r="AH164" i="1"/>
  <c r="AU164" i="1"/>
  <c r="AW164" i="1"/>
  <c r="AT164" i="1"/>
  <c r="AM164" i="1"/>
  <c r="O164" i="1"/>
  <c r="AP181" i="1"/>
  <c r="AZ181" i="1"/>
  <c r="J181" i="1"/>
  <c r="AV181" i="1"/>
  <c r="AL181" i="1"/>
  <c r="AK181" i="1"/>
  <c r="R181" i="1"/>
  <c r="Q181" i="1"/>
  <c r="N181" i="1"/>
  <c r="I181" i="1"/>
  <c r="AH181" i="1"/>
  <c r="G181" i="1"/>
  <c r="AC181" i="1"/>
  <c r="K169" i="1"/>
  <c r="R169" i="1"/>
  <c r="AV169" i="1"/>
  <c r="AW169" i="1"/>
  <c r="AQ169" i="1"/>
  <c r="AE169" i="1"/>
  <c r="Z169" i="1"/>
  <c r="AB169" i="1"/>
  <c r="AY169" i="1"/>
  <c r="AX169" i="1"/>
  <c r="AD169" i="1"/>
  <c r="M169" i="1"/>
  <c r="AH169" i="1"/>
  <c r="R179" i="1"/>
  <c r="K179" i="1"/>
  <c r="AP179" i="1"/>
  <c r="N179" i="1"/>
  <c r="F179" i="1"/>
  <c r="AA179" i="1"/>
  <c r="AN179" i="1"/>
  <c r="AC179" i="1"/>
  <c r="M179" i="1"/>
  <c r="AB179" i="1"/>
  <c r="AR179" i="1"/>
  <c r="P179" i="1"/>
  <c r="AQ179" i="1"/>
  <c r="AI182" i="1"/>
  <c r="X182" i="1"/>
  <c r="AU182" i="1"/>
  <c r="AY182" i="1"/>
  <c r="AW182" i="1"/>
  <c r="R182" i="1"/>
  <c r="AF182" i="1"/>
  <c r="I182" i="1"/>
  <c r="D182" i="1"/>
  <c r="N182" i="1"/>
  <c r="Q182" i="1"/>
  <c r="AJ182" i="1"/>
  <c r="AV189" i="1"/>
  <c r="N189" i="1"/>
  <c r="Q189" i="1"/>
  <c r="AF189" i="1"/>
  <c r="T189" i="1"/>
  <c r="D189" i="1"/>
  <c r="AU189" i="1"/>
  <c r="K189" i="1"/>
  <c r="AT189" i="1"/>
  <c r="AS189" i="1"/>
  <c r="AI189" i="1"/>
  <c r="M189" i="1"/>
  <c r="AA189" i="1"/>
  <c r="AF153" i="1"/>
  <c r="AN153" i="1"/>
  <c r="K153" i="1"/>
  <c r="C153" i="1"/>
  <c r="I153" i="1"/>
  <c r="AZ153" i="1"/>
  <c r="S153" i="1"/>
  <c r="AU153" i="1"/>
  <c r="AB153" i="1"/>
  <c r="AI153" i="1"/>
  <c r="AO153" i="1"/>
  <c r="T153" i="1"/>
  <c r="Y196" i="1"/>
  <c r="AH196" i="1"/>
  <c r="AK196" i="1"/>
  <c r="AO196" i="1"/>
  <c r="U196" i="1"/>
  <c r="AU196" i="1"/>
  <c r="C196" i="1"/>
  <c r="AD196" i="1"/>
  <c r="H196" i="1"/>
  <c r="AF196" i="1"/>
  <c r="AA196" i="1"/>
  <c r="AJ196" i="1"/>
  <c r="AY196" i="1"/>
  <c r="U188" i="1"/>
  <c r="BA188" i="1"/>
  <c r="AY188" i="1"/>
  <c r="AT188" i="1"/>
  <c r="S188" i="1"/>
  <c r="L188" i="1"/>
  <c r="AS188" i="1"/>
  <c r="AO188" i="1"/>
  <c r="AL188" i="1"/>
  <c r="AN188" i="1"/>
  <c r="V188" i="1"/>
  <c r="AH188" i="1"/>
  <c r="R188" i="1"/>
  <c r="AK166" i="1"/>
  <c r="D166" i="1"/>
  <c r="AN166" i="1"/>
  <c r="AV166" i="1"/>
  <c r="AT166" i="1"/>
  <c r="AX166" i="1"/>
  <c r="AU166" i="1"/>
  <c r="N166" i="1"/>
  <c r="AF166" i="1"/>
  <c r="AC166" i="1"/>
  <c r="C166" i="1"/>
  <c r="U166" i="1"/>
  <c r="AX180" i="1"/>
  <c r="AW180" i="1"/>
  <c r="AS180" i="1"/>
  <c r="Q180" i="1"/>
  <c r="AB180" i="1"/>
  <c r="AL180" i="1"/>
  <c r="AE180" i="1"/>
  <c r="AF180" i="1"/>
  <c r="AD180" i="1"/>
  <c r="X180" i="1"/>
  <c r="S180" i="1"/>
  <c r="AU180" i="1"/>
  <c r="D180" i="1"/>
  <c r="AW185" i="1"/>
  <c r="AH185" i="1"/>
  <c r="O185" i="1"/>
  <c r="D185" i="1"/>
  <c r="U185" i="1"/>
  <c r="AP185" i="1"/>
  <c r="T185" i="1"/>
  <c r="AK185" i="1"/>
  <c r="P185" i="1"/>
  <c r="K185" i="1"/>
  <c r="J185" i="1"/>
  <c r="AS185" i="1"/>
  <c r="Q185" i="1"/>
  <c r="AN170" i="1"/>
  <c r="V170" i="1"/>
  <c r="AP170" i="1"/>
  <c r="F170" i="1"/>
  <c r="AZ170" i="1"/>
  <c r="AG170" i="1"/>
  <c r="AU170" i="1"/>
  <c r="AX170" i="1"/>
  <c r="J170" i="1"/>
  <c r="AM170" i="1"/>
  <c r="AL170" i="1"/>
  <c r="L170" i="1"/>
  <c r="BA170" i="1"/>
  <c r="AL191" i="1"/>
  <c r="P191" i="1"/>
  <c r="R191" i="1"/>
  <c r="AB191" i="1"/>
  <c r="AD191" i="1"/>
  <c r="AY191" i="1"/>
  <c r="AO191" i="1"/>
  <c r="C191" i="1"/>
  <c r="U191" i="1"/>
  <c r="AX191" i="1"/>
  <c r="O191" i="1"/>
  <c r="AU191" i="1"/>
  <c r="G172" i="1"/>
  <c r="H172" i="1"/>
  <c r="AR172" i="1"/>
  <c r="I172" i="1"/>
  <c r="AZ172" i="1"/>
  <c r="Y172" i="1"/>
  <c r="AY172" i="1"/>
  <c r="AF172" i="1"/>
  <c r="AS172" i="1"/>
  <c r="D172" i="1"/>
  <c r="L172" i="1"/>
  <c r="AL172" i="1"/>
  <c r="AA172" i="1"/>
  <c r="O192" i="1"/>
  <c r="Q192" i="1"/>
  <c r="Z192" i="1"/>
  <c r="BA192" i="1"/>
  <c r="AP192" i="1"/>
  <c r="AW192" i="1"/>
  <c r="E192" i="1"/>
  <c r="AZ192" i="1"/>
  <c r="AM192" i="1"/>
  <c r="AX192" i="1"/>
  <c r="R192" i="1"/>
  <c r="P192" i="1"/>
  <c r="X192" i="1"/>
  <c r="AS176" i="1"/>
  <c r="AX176" i="1"/>
  <c r="Z176" i="1"/>
  <c r="N176" i="1"/>
  <c r="AW176" i="1"/>
  <c r="AM176" i="1"/>
  <c r="R176" i="1"/>
  <c r="O176" i="1"/>
  <c r="T176" i="1"/>
  <c r="BA176" i="1"/>
  <c r="AJ176" i="1"/>
  <c r="X176" i="1"/>
  <c r="P176" i="1"/>
  <c r="N190" i="1"/>
  <c r="AY190" i="1"/>
  <c r="AM190" i="1"/>
  <c r="P190" i="1"/>
  <c r="AH190" i="1"/>
  <c r="AE190" i="1"/>
  <c r="V190" i="1"/>
  <c r="O190" i="1"/>
  <c r="L190" i="1"/>
  <c r="AW190" i="1"/>
  <c r="AT190" i="1"/>
  <c r="BA190" i="1"/>
  <c r="AQ199" i="1"/>
  <c r="AD199" i="1"/>
  <c r="AN199" i="1"/>
  <c r="F199" i="1"/>
  <c r="AH199" i="1"/>
  <c r="AI199" i="1"/>
  <c r="U199" i="1"/>
  <c r="AS199" i="1"/>
  <c r="AK199" i="1"/>
  <c r="AV199" i="1"/>
  <c r="E199" i="1"/>
  <c r="L199" i="1"/>
  <c r="Y199" i="1"/>
</calcChain>
</file>

<file path=xl/sharedStrings.xml><?xml version="1.0" encoding="utf-8"?>
<sst xmlns="http://schemas.openxmlformats.org/spreadsheetml/2006/main" count="131" uniqueCount="62">
  <si>
    <t>X</t>
  </si>
  <si>
    <t>Y</t>
  </si>
  <si>
    <t>Mean</t>
  </si>
  <si>
    <t>c11</t>
  </si>
  <si>
    <t>c22</t>
  </si>
  <si>
    <t>c12</t>
  </si>
  <si>
    <t>Det</t>
  </si>
  <si>
    <t>Variance</t>
  </si>
  <si>
    <t>Std. Derivation</t>
  </si>
  <si>
    <t>Covariance</t>
  </si>
  <si>
    <t>STT</t>
  </si>
  <si>
    <t>Corr</t>
  </si>
  <si>
    <t>1st component</t>
  </si>
  <si>
    <t>2nd component</t>
  </si>
  <si>
    <t>d11</t>
  </si>
  <si>
    <t>d22</t>
  </si>
  <si>
    <t>d12</t>
  </si>
  <si>
    <t>Min1</t>
  </si>
  <si>
    <t>Min2</t>
  </si>
  <si>
    <t>Max1</t>
  </si>
  <si>
    <t>Max2</t>
  </si>
  <si>
    <t>Min</t>
  </si>
  <si>
    <t>Max</t>
  </si>
  <si>
    <t>Pi_1</t>
  </si>
  <si>
    <t>Pi_2</t>
  </si>
  <si>
    <t>Stepsize</t>
  </si>
  <si>
    <t>1ST COMPONENT</t>
  </si>
  <si>
    <t>2ND COMPONENT</t>
  </si>
  <si>
    <t>MIXTURE DENSITY</t>
  </si>
  <si>
    <t>Nb. of points</t>
  </si>
  <si>
    <t>Z</t>
  </si>
  <si>
    <t>Rand</t>
  </si>
  <si>
    <t>Class 1</t>
  </si>
  <si>
    <t>Class 2</t>
  </si>
  <si>
    <t>Sigma_1^(-1)</t>
  </si>
  <si>
    <t>Sigma_2^(-1)</t>
  </si>
  <si>
    <t>a11</t>
  </si>
  <si>
    <t>a12</t>
  </si>
  <si>
    <t>a22</t>
  </si>
  <si>
    <t>b11</t>
  </si>
  <si>
    <t>b12</t>
  </si>
  <si>
    <t>b22</t>
  </si>
  <si>
    <t>Mức ý nghĩa alpha:</t>
  </si>
  <si>
    <t>A1</t>
  </si>
  <si>
    <t>B1</t>
  </si>
  <si>
    <t>C_alpha</t>
  </si>
  <si>
    <t>A2</t>
  </si>
  <si>
    <t>B2</t>
  </si>
  <si>
    <t>Range1</t>
  </si>
  <si>
    <t>Range2</t>
  </si>
  <si>
    <t>Ellipsoid.1</t>
  </si>
  <si>
    <t>X1</t>
  </si>
  <si>
    <t>Y1</t>
  </si>
  <si>
    <t>-Y1</t>
  </si>
  <si>
    <t>Ellipsoid.2</t>
  </si>
  <si>
    <t>X2</t>
  </si>
  <si>
    <t>Y2</t>
  </si>
  <si>
    <t>-Y2</t>
  </si>
  <si>
    <t>Ellipsoid.1a</t>
  </si>
  <si>
    <t>Ellipsoid.1b</t>
  </si>
  <si>
    <t>Ellipsoid.2a</t>
  </si>
  <si>
    <t>Ellipsoid.2b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</si>
</sst>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2" fillId="4" borderId="0" xfId="0" applyNumberFormat="1" applyFont="1" applyFill="1" applyAlignment="1">
      <alignment horizontal="center"/>
    </xf>
    <xf numFmtId="0" fontId="0" fillId="0" borderId="0" xfId="0" quotePrefix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Mixture of two 2-Dimensional Normal Densities</a:t>
            </a:r>
          </a:p>
        </c:rich>
      </c:tx>
      <c:layout>
        <c:manualLayout>
          <c:xMode val="edge"/>
          <c:yMode val="edge"/>
          <c:x val="0.17077075542548331"/>
          <c:y val="0"/>
        </c:manualLayout>
      </c:layout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surface3DChart>
        <c:wireframe val="0"/>
        <c:ser>
          <c:idx val="0"/>
          <c:order val="0"/>
          <c:tx>
            <c:strRef>
              <c:f>'Mixture of 2 Gaussian dist.'!$B$150</c:f>
              <c:strCache>
                <c:ptCount val="1"/>
                <c:pt idx="0">
                  <c:v>-2.989858564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dist.'!$C$150:$BA$150</c:f>
              <c:numCache>
                <c:formatCode>General</c:formatCode>
                <c:ptCount val="51"/>
                <c:pt idx="0">
                  <c:v>3.2619406978473329E-5</c:v>
                </c:pt>
                <c:pt idx="1">
                  <c:v>5.0354076243934966E-5</c:v>
                </c:pt>
                <c:pt idx="2">
                  <c:v>7.5323895317901858E-5</c:v>
                </c:pt>
                <c:pt idx="3">
                  <c:v>1.0918688476940906E-4</c:v>
                </c:pt>
                <c:pt idx="4">
                  <c:v>1.5337258784346648E-4</c:v>
                </c:pt>
                <c:pt idx="5">
                  <c:v>2.0876831298976517E-4</c:v>
                </c:pt>
                <c:pt idx="6">
                  <c:v>2.7537276432085489E-4</c:v>
                </c:pt>
                <c:pt idx="7">
                  <c:v>3.519791618792241E-4</c:v>
                </c:pt>
                <c:pt idx="8">
                  <c:v>4.3596586606515597E-4</c:v>
                </c:pt>
                <c:pt idx="9">
                  <c:v>5.2327211065948318E-4</c:v>
                </c:pt>
                <c:pt idx="10">
                  <c:v>6.0861444428027939E-4</c:v>
                </c:pt>
                <c:pt idx="11">
                  <c:v>6.859563619281045E-4</c:v>
                </c:pt>
                <c:pt idx="12">
                  <c:v>7.4918709433121819E-4</c:v>
                </c:pt>
                <c:pt idx="13">
                  <c:v>7.9290955761835639E-4</c:v>
                </c:pt>
                <c:pt idx="14">
                  <c:v>8.1319852872395926E-4</c:v>
                </c:pt>
                <c:pt idx="15">
                  <c:v>8.0818182924222485E-4</c:v>
                </c:pt>
                <c:pt idx="16">
                  <c:v>7.7832529585992213E-4</c:v>
                </c:pt>
                <c:pt idx="17">
                  <c:v>7.2636143036611473E-4</c:v>
                </c:pt>
                <c:pt idx="18">
                  <c:v>6.5687687204217884E-4</c:v>
                </c:pt>
                <c:pt idx="19">
                  <c:v>5.7564499511699417E-4</c:v>
                </c:pt>
                <c:pt idx="20">
                  <c:v>4.8883811552364264E-4</c:v>
                </c:pt>
                <c:pt idx="21">
                  <c:v>4.0226750834322059E-4</c:v>
                </c:pt>
                <c:pt idx="22">
                  <c:v>3.2077788221952113E-4</c:v>
                </c:pt>
                <c:pt idx="23">
                  <c:v>2.4787540815754183E-4</c:v>
                </c:pt>
                <c:pt idx="24">
                  <c:v>1.8561028386963958E-4</c:v>
                </c:pt>
                <c:pt idx="25">
                  <c:v>1.3468219745950256E-4</c:v>
                </c:pt>
                <c:pt idx="26">
                  <c:v>9.4701731266233331E-5</c:v>
                </c:pt>
                <c:pt idx="27">
                  <c:v>6.4527554975266915E-5</c:v>
                </c:pt>
                <c:pt idx="28">
                  <c:v>4.2606127883354769E-5</c:v>
                </c:pt>
                <c:pt idx="29">
                  <c:v>2.7260793297628813E-5</c:v>
                </c:pt>
                <c:pt idx="30">
                  <c:v>1.6902248368502436E-5</c:v>
                </c:pt>
                <c:pt idx="31">
                  <c:v>1.0155236328073861E-5</c:v>
                </c:pt>
                <c:pt idx="32">
                  <c:v>5.9125544888689957E-6</c:v>
                </c:pt>
                <c:pt idx="33">
                  <c:v>3.3357987670210574E-6</c:v>
                </c:pt>
                <c:pt idx="34">
                  <c:v>1.8237449302925107E-6</c:v>
                </c:pt>
                <c:pt idx="35">
                  <c:v>9.6620196765269288E-7</c:v>
                </c:pt>
                <c:pt idx="36">
                  <c:v>4.9603383784146532E-7</c:v>
                </c:pt>
                <c:pt idx="37">
                  <c:v>2.4677107668798495E-7</c:v>
                </c:pt>
                <c:pt idx="38">
                  <c:v>1.1896433315141742E-7</c:v>
                </c:pt>
                <c:pt idx="39">
                  <c:v>5.5574921707883259E-8</c:v>
                </c:pt>
                <c:pt idx="40">
                  <c:v>2.5158254810450714E-8</c:v>
                </c:pt>
                <c:pt idx="41">
                  <c:v>1.1036255118140389E-8</c:v>
                </c:pt>
                <c:pt idx="42">
                  <c:v>4.6914006194479608E-9</c:v>
                </c:pt>
                <c:pt idx="43">
                  <c:v>1.9325150495733923E-9</c:v>
                </c:pt>
                <c:pt idx="44">
                  <c:v>7.7140567939600897E-10</c:v>
                </c:pt>
                <c:pt idx="45">
                  <c:v>2.9838870672804483E-10</c:v>
                </c:pt>
                <c:pt idx="46">
                  <c:v>1.118462880967974E-10</c:v>
                </c:pt>
                <c:pt idx="47">
                  <c:v>4.0625666135560038E-11</c:v>
                </c:pt>
                <c:pt idx="48">
                  <c:v>1.4299449233975838E-11</c:v>
                </c:pt>
                <c:pt idx="49">
                  <c:v>4.8772875618451108E-12</c:v>
                </c:pt>
                <c:pt idx="50">
                  <c:v>1.6120493461012876E-12</c:v>
                </c:pt>
              </c:numCache>
            </c:numRef>
          </c:val>
        </c:ser>
        <c:ser>
          <c:idx val="1"/>
          <c:order val="1"/>
          <c:tx>
            <c:strRef>
              <c:f>'Mixture of 2 Gaussian dist.'!$B$151</c:f>
              <c:strCache>
                <c:ptCount val="1"/>
                <c:pt idx="0">
                  <c:v>-2.798671896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dist.'!$C$151:$BA$151</c:f>
              <c:numCache>
                <c:formatCode>General</c:formatCode>
                <c:ptCount val="51"/>
                <c:pt idx="0">
                  <c:v>5.2160588856953144E-5</c:v>
                </c:pt>
                <c:pt idx="1">
                  <c:v>8.0977237627209367E-5</c:v>
                </c:pt>
                <c:pt idx="2">
                  <c:v>1.2182123436543988E-4</c:v>
                </c:pt>
                <c:pt idx="3">
                  <c:v>1.7759167358009603E-4</c:v>
                </c:pt>
                <c:pt idx="4">
                  <c:v>2.5087753293165252E-4</c:v>
                </c:pt>
                <c:pt idx="5">
                  <c:v>3.4343180050641978E-4</c:v>
                </c:pt>
                <c:pt idx="6">
                  <c:v>4.5557387282372754E-4</c:v>
                </c:pt>
                <c:pt idx="7">
                  <c:v>5.856210487618621E-4</c:v>
                </c:pt>
                <c:pt idx="8">
                  <c:v>7.2948121509531681E-4</c:v>
                </c:pt>
                <c:pt idx="9">
                  <c:v>8.8054410466057982E-4</c:v>
                </c:pt>
                <c:pt idx="10">
                  <c:v>1.0299773654002312E-3</c:v>
                </c:pt>
                <c:pt idx="11">
                  <c:v>1.1674648508068408E-3</c:v>
                </c:pt>
                <c:pt idx="12">
                  <c:v>1.2823291456053594E-3</c:v>
                </c:pt>
                <c:pt idx="13">
                  <c:v>1.3648809703492297E-3</c:v>
                </c:pt>
                <c:pt idx="14">
                  <c:v>1.4077632065781932E-3</c:v>
                </c:pt>
                <c:pt idx="15">
                  <c:v>1.4070321077097011E-3</c:v>
                </c:pt>
                <c:pt idx="16">
                  <c:v>1.3627555884790678E-3</c:v>
                </c:pt>
                <c:pt idx="17">
                  <c:v>1.2790028186770949E-3</c:v>
                </c:pt>
                <c:pt idx="18">
                  <c:v>1.1632273305931589E-3</c:v>
                </c:pt>
                <c:pt idx="19">
                  <c:v>1.0251732362617984E-3</c:v>
                </c:pt>
                <c:pt idx="20">
                  <c:v>8.7552688778143534E-4</c:v>
                </c:pt>
                <c:pt idx="21">
                  <c:v>7.2457155786288287E-4</c:v>
                </c:pt>
                <c:pt idx="22">
                  <c:v>5.8107560471634787E-4</c:v>
                </c:pt>
                <c:pt idx="23">
                  <c:v>4.5156842738956955E-4</c:v>
                </c:pt>
                <c:pt idx="24">
                  <c:v>3.4005883464212057E-4</c:v>
                </c:pt>
                <c:pt idx="25">
                  <c:v>2.481556233675226E-4</c:v>
                </c:pt>
                <c:pt idx="26">
                  <c:v>1.7548247296209069E-4</c:v>
                </c:pt>
                <c:pt idx="27">
                  <c:v>1.2024940526558614E-4</c:v>
                </c:pt>
                <c:pt idx="28">
                  <c:v>7.9849406834885564E-5</c:v>
                </c:pt>
                <c:pt idx="29">
                  <c:v>5.1380700110020385E-5</c:v>
                </c:pt>
                <c:pt idx="30">
                  <c:v>3.2038185166744399E-5</c:v>
                </c:pt>
                <c:pt idx="31">
                  <c:v>1.935866313650948E-5</c:v>
                </c:pt>
                <c:pt idx="32">
                  <c:v>1.1335022442946052E-5</c:v>
                </c:pt>
                <c:pt idx="33">
                  <c:v>6.4314511035417491E-6</c:v>
                </c:pt>
                <c:pt idx="34">
                  <c:v>3.5361862093673408E-6</c:v>
                </c:pt>
                <c:pt idx="35">
                  <c:v>1.8840865369096166E-6</c:v>
                </c:pt>
                <c:pt idx="36">
                  <c:v>9.7276095983603419E-7</c:v>
                </c:pt>
                <c:pt idx="37">
                  <c:v>4.8668838890593398E-7</c:v>
                </c:pt>
                <c:pt idx="38">
                  <c:v>2.3595837930549773E-7</c:v>
                </c:pt>
                <c:pt idx="39">
                  <c:v>1.108560477455286E-7</c:v>
                </c:pt>
                <c:pt idx="40">
                  <c:v>5.0468796209685065E-8</c:v>
                </c:pt>
                <c:pt idx="41">
                  <c:v>2.2265172915572107E-8</c:v>
                </c:pt>
                <c:pt idx="42">
                  <c:v>9.5185057357470423E-9</c:v>
                </c:pt>
                <c:pt idx="43">
                  <c:v>3.9432205612034675E-9</c:v>
                </c:pt>
                <c:pt idx="44">
                  <c:v>1.5829710790322039E-9</c:v>
                </c:pt>
                <c:pt idx="45">
                  <c:v>6.1579273868842315E-10</c:v>
                </c:pt>
                <c:pt idx="46">
                  <c:v>2.3213249180406435E-10</c:v>
                </c:pt>
                <c:pt idx="47">
                  <c:v>8.4796381918208031E-11</c:v>
                </c:pt>
                <c:pt idx="48">
                  <c:v>3.0016441043260858E-11</c:v>
                </c:pt>
                <c:pt idx="49">
                  <c:v>1.0296330936056492E-11</c:v>
                </c:pt>
                <c:pt idx="50">
                  <c:v>3.4225440415797719E-12</c:v>
                </c:pt>
              </c:numCache>
            </c:numRef>
          </c:val>
        </c:ser>
        <c:ser>
          <c:idx val="2"/>
          <c:order val="2"/>
          <c:tx>
            <c:strRef>
              <c:f>'Mixture of 2 Gaussian dist.'!$B$152</c:f>
              <c:strCache>
                <c:ptCount val="1"/>
                <c:pt idx="0">
                  <c:v>-2.607485229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dist.'!$C$152:$BA$152</c:f>
              <c:numCache>
                <c:formatCode>General</c:formatCode>
                <c:ptCount val="51"/>
                <c:pt idx="0">
                  <c:v>8.0378931622228291E-5</c:v>
                </c:pt>
                <c:pt idx="1">
                  <c:v>1.2549447367073363E-4</c:v>
                </c:pt>
                <c:pt idx="2">
                  <c:v>1.8986571088407906E-4</c:v>
                </c:pt>
                <c:pt idx="3">
                  <c:v>2.7836077952033702E-4</c:v>
                </c:pt>
                <c:pt idx="4">
                  <c:v>3.9546596658462984E-4</c:v>
                </c:pt>
                <c:pt idx="5">
                  <c:v>5.4443965619424583E-4</c:v>
                </c:pt>
                <c:pt idx="6">
                  <c:v>7.2632326233951032E-4</c:v>
                </c:pt>
                <c:pt idx="7">
                  <c:v>9.3896568835059662E-4</c:v>
                </c:pt>
                <c:pt idx="8">
                  <c:v>1.1762755164975618E-3</c:v>
                </c:pt>
                <c:pt idx="9">
                  <c:v>1.4279334214518313E-3</c:v>
                </c:pt>
                <c:pt idx="10">
                  <c:v>1.6797568691618184E-3</c:v>
                </c:pt>
                <c:pt idx="11">
                  <c:v>1.9148045864487723E-3</c:v>
                </c:pt>
                <c:pt idx="12">
                  <c:v>2.1151543191418928E-3</c:v>
                </c:pt>
                <c:pt idx="13">
                  <c:v>2.2641188685216694E-3</c:v>
                </c:pt>
                <c:pt idx="14">
                  <c:v>2.3485291534774454E-3</c:v>
                </c:pt>
                <c:pt idx="15">
                  <c:v>2.3606535436813516E-3</c:v>
                </c:pt>
                <c:pt idx="16">
                  <c:v>2.299366063769044E-3</c:v>
                </c:pt>
                <c:pt idx="17">
                  <c:v>2.1703188746161487E-3</c:v>
                </c:pt>
                <c:pt idx="18">
                  <c:v>1.9850824211289976E-3</c:v>
                </c:pt>
                <c:pt idx="19">
                  <c:v>1.7594345086383912E-3</c:v>
                </c:pt>
                <c:pt idx="20">
                  <c:v>1.5111488122076487E-3</c:v>
                </c:pt>
                <c:pt idx="21">
                  <c:v>1.2577112007484646E-3</c:v>
                </c:pt>
                <c:pt idx="22">
                  <c:v>1.0143648446235142E-3</c:v>
                </c:pt>
                <c:pt idx="23">
                  <c:v>7.9276965087168329E-4</c:v>
                </c:pt>
                <c:pt idx="24">
                  <c:v>6.0039823768156207E-4</c:v>
                </c:pt>
                <c:pt idx="25">
                  <c:v>4.4062726600854562E-4</c:v>
                </c:pt>
                <c:pt idx="26">
                  <c:v>3.1335951969677106E-4</c:v>
                </c:pt>
                <c:pt idx="27">
                  <c:v>2.1595038571237438E-4</c:v>
                </c:pt>
                <c:pt idx="28">
                  <c:v>1.4421307638594924E-4</c:v>
                </c:pt>
                <c:pt idx="29">
                  <c:v>9.3324326598665148E-5</c:v>
                </c:pt>
                <c:pt idx="30">
                  <c:v>5.8522740417659204E-5</c:v>
                </c:pt>
                <c:pt idx="31">
                  <c:v>3.5562641367439663E-5</c:v>
                </c:pt>
                <c:pt idx="32">
                  <c:v>2.0941265934481669E-5</c:v>
                </c:pt>
                <c:pt idx="33">
                  <c:v>1.1949546399514088E-5</c:v>
                </c:pt>
                <c:pt idx="34">
                  <c:v>6.6075350277515359E-6</c:v>
                </c:pt>
                <c:pt idx="35">
                  <c:v>3.5405203462836478E-6</c:v>
                </c:pt>
                <c:pt idx="36">
                  <c:v>1.8383757445161628E-6</c:v>
                </c:pt>
                <c:pt idx="37">
                  <c:v>9.2499851375117702E-7</c:v>
                </c:pt>
                <c:pt idx="38">
                  <c:v>4.5101123042430678E-7</c:v>
                </c:pt>
                <c:pt idx="39">
                  <c:v>2.130949937126964E-7</c:v>
                </c:pt>
                <c:pt idx="40">
                  <c:v>9.756604732705697E-8</c:v>
                </c:pt>
                <c:pt idx="41">
                  <c:v>4.3287624787820834E-8</c:v>
                </c:pt>
                <c:pt idx="42">
                  <c:v>1.8610943962249782E-8</c:v>
                </c:pt>
                <c:pt idx="43">
                  <c:v>7.7537658608458302E-9</c:v>
                </c:pt>
                <c:pt idx="44">
                  <c:v>3.1303772326014664E-9</c:v>
                </c:pt>
                <c:pt idx="45">
                  <c:v>1.2246741173566182E-9</c:v>
                </c:pt>
                <c:pt idx="46">
                  <c:v>4.642849334524817E-10</c:v>
                </c:pt>
                <c:pt idx="47">
                  <c:v>1.705648237824615E-10</c:v>
                </c:pt>
                <c:pt idx="48">
                  <c:v>6.0720655473462836E-11</c:v>
                </c:pt>
                <c:pt idx="49">
                  <c:v>2.0947299490929071E-11</c:v>
                </c:pt>
                <c:pt idx="50">
                  <c:v>7.0027581902820197E-12</c:v>
                </c:pt>
              </c:numCache>
            </c:numRef>
          </c:val>
        </c:ser>
        <c:ser>
          <c:idx val="3"/>
          <c:order val="3"/>
          <c:tx>
            <c:strRef>
              <c:f>'Mixture of 2 Gaussian dist.'!$B$153</c:f>
              <c:strCache>
                <c:ptCount val="1"/>
                <c:pt idx="0">
                  <c:v>-2.416298561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dist.'!$C$153:$BA$153</c:f>
              <c:numCache>
                <c:formatCode>General</c:formatCode>
                <c:ptCount val="51"/>
                <c:pt idx="0">
                  <c:v>1.1936453003040839E-4</c:v>
                </c:pt>
                <c:pt idx="1">
                  <c:v>1.8742156702267104E-4</c:v>
                </c:pt>
                <c:pt idx="2">
                  <c:v>2.8516971593610786E-4</c:v>
                </c:pt>
                <c:pt idx="3">
                  <c:v>4.2046205393249424E-4</c:v>
                </c:pt>
                <c:pt idx="4">
                  <c:v>6.0074446495665841E-4</c:v>
                </c:pt>
                <c:pt idx="5">
                  <c:v>8.3174905241422455E-4</c:v>
                </c:pt>
                <c:pt idx="6">
                  <c:v>1.1159234850693618E-3</c:v>
                </c:pt>
                <c:pt idx="7">
                  <c:v>1.4508285276421174E-3</c:v>
                </c:pt>
                <c:pt idx="8">
                  <c:v>1.8278363994003741E-3</c:v>
                </c:pt>
                <c:pt idx="9">
                  <c:v>2.2315063281805733E-3</c:v>
                </c:pt>
                <c:pt idx="10">
                  <c:v>2.6399669508210852E-3</c:v>
                </c:pt>
                <c:pt idx="11">
                  <c:v>3.0264842870932462E-3</c:v>
                </c:pt>
                <c:pt idx="12">
                  <c:v>3.3621564854692558E-3</c:v>
                </c:pt>
                <c:pt idx="13">
                  <c:v>3.6194033887944452E-3</c:v>
                </c:pt>
                <c:pt idx="14">
                  <c:v>3.775683834050845E-3</c:v>
                </c:pt>
                <c:pt idx="15">
                  <c:v>3.8167509147816734E-3</c:v>
                </c:pt>
                <c:pt idx="16">
                  <c:v>3.7387943900433346E-3</c:v>
                </c:pt>
                <c:pt idx="17">
                  <c:v>3.5490238060580164E-3</c:v>
                </c:pt>
                <c:pt idx="18">
                  <c:v>3.2645686727756679E-3</c:v>
                </c:pt>
                <c:pt idx="19">
                  <c:v>2.9099281857082964E-3</c:v>
                </c:pt>
                <c:pt idx="20">
                  <c:v>2.5134965857509595E-3</c:v>
                </c:pt>
                <c:pt idx="21">
                  <c:v>2.1038457463705292E-3</c:v>
                </c:pt>
                <c:pt idx="22">
                  <c:v>1.7064322684540354E-3</c:v>
                </c:pt>
                <c:pt idx="23">
                  <c:v>1.3412316147962088E-3</c:v>
                </c:pt>
                <c:pt idx="24">
                  <c:v>1.0215463462693963E-3</c:v>
                </c:pt>
                <c:pt idx="25">
                  <c:v>7.5396629867999091E-4</c:v>
                </c:pt>
                <c:pt idx="26">
                  <c:v>5.3924404665072628E-4</c:v>
                </c:pt>
                <c:pt idx="27">
                  <c:v>3.7373033524591199E-4</c:v>
                </c:pt>
                <c:pt idx="28">
                  <c:v>2.5099837389872356E-4</c:v>
                </c:pt>
                <c:pt idx="29">
                  <c:v>1.6335146414323364E-4</c:v>
                </c:pt>
                <c:pt idx="30">
                  <c:v>1.0301838118835758E-4</c:v>
                </c:pt>
                <c:pt idx="31">
                  <c:v>6.2957282967493404E-5</c:v>
                </c:pt>
                <c:pt idx="32">
                  <c:v>3.7283510634826546E-5</c:v>
                </c:pt>
                <c:pt idx="33">
                  <c:v>2.1395733864714834E-5</c:v>
                </c:pt>
                <c:pt idx="34">
                  <c:v>1.1898087040729793E-5</c:v>
                </c:pt>
                <c:pt idx="35">
                  <c:v>6.4116035800806193E-6</c:v>
                </c:pt>
                <c:pt idx="36">
                  <c:v>3.3480794158405715E-6</c:v>
                </c:pt>
                <c:pt idx="37">
                  <c:v>1.6941989456881729E-6</c:v>
                </c:pt>
                <c:pt idx="38">
                  <c:v>8.3075436941322853E-7</c:v>
                </c:pt>
                <c:pt idx="39">
                  <c:v>3.9474845351804324E-7</c:v>
                </c:pt>
                <c:pt idx="40">
                  <c:v>1.8176398179892727E-7</c:v>
                </c:pt>
                <c:pt idx="41">
                  <c:v>8.1102609974152958E-8</c:v>
                </c:pt>
                <c:pt idx="42">
                  <c:v>3.5067232731773958E-8</c:v>
                </c:pt>
                <c:pt idx="43">
                  <c:v>1.4692913720277934E-8</c:v>
                </c:pt>
                <c:pt idx="44">
                  <c:v>5.9656029325794881E-9</c:v>
                </c:pt>
                <c:pt idx="45">
                  <c:v>2.3471517952313574E-9</c:v>
                </c:pt>
                <c:pt idx="46">
                  <c:v>8.9488927666593914E-10</c:v>
                </c:pt>
                <c:pt idx="47">
                  <c:v>3.3062863273677407E-10</c:v>
                </c:pt>
                <c:pt idx="48">
                  <c:v>1.1837447439973613E-10</c:v>
                </c:pt>
                <c:pt idx="49">
                  <c:v>4.1070383264281655E-11</c:v>
                </c:pt>
                <c:pt idx="50">
                  <c:v>1.380909855592244E-11</c:v>
                </c:pt>
              </c:numCache>
            </c:numRef>
          </c:val>
        </c:ser>
        <c:ser>
          <c:idx val="4"/>
          <c:order val="4"/>
          <c:tx>
            <c:strRef>
              <c:f>'Mixture of 2 Gaussian dist.'!$B$154</c:f>
              <c:strCache>
                <c:ptCount val="1"/>
                <c:pt idx="0">
                  <c:v>-2.225111893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dist.'!$C$154:$BA$154</c:f>
              <c:numCache>
                <c:formatCode>General</c:formatCode>
                <c:ptCount val="51"/>
                <c:pt idx="0">
                  <c:v>1.7082116322734368E-4</c:v>
                </c:pt>
                <c:pt idx="1">
                  <c:v>2.6974154908663688E-4</c:v>
                </c:pt>
                <c:pt idx="2">
                  <c:v>4.1275618120102474E-4</c:v>
                </c:pt>
                <c:pt idx="3">
                  <c:v>6.1203870887391245E-4</c:v>
                </c:pt>
                <c:pt idx="4">
                  <c:v>8.7943503081126828E-4</c:v>
                </c:pt>
                <c:pt idx="5">
                  <c:v>1.2245265273555016E-3</c:v>
                </c:pt>
                <c:pt idx="6">
                  <c:v>1.6522364571355229E-3</c:v>
                </c:pt>
                <c:pt idx="7">
                  <c:v>2.1603084771874771E-3</c:v>
                </c:pt>
                <c:pt idx="8">
                  <c:v>2.7371519346296217E-3</c:v>
                </c:pt>
                <c:pt idx="9">
                  <c:v>3.3606370134904688E-3</c:v>
                </c:pt>
                <c:pt idx="10">
                  <c:v>3.9983782259768851E-3</c:v>
                </c:pt>
                <c:pt idx="11">
                  <c:v>4.609838463911285E-3</c:v>
                </c:pt>
                <c:pt idx="12">
                  <c:v>5.1502357238009215E-3</c:v>
                </c:pt>
                <c:pt idx="13">
                  <c:v>5.5758113647491857E-3</c:v>
                </c:pt>
                <c:pt idx="14">
                  <c:v>5.8496327963117583E-3</c:v>
                </c:pt>
                <c:pt idx="15">
                  <c:v>5.9468735303537142E-3</c:v>
                </c:pt>
                <c:pt idx="16">
                  <c:v>5.8585260691579365E-3</c:v>
                </c:pt>
                <c:pt idx="17">
                  <c:v>5.59277820953249E-3</c:v>
                </c:pt>
                <c:pt idx="18">
                  <c:v>5.1737613650485069E-3</c:v>
                </c:pt>
                <c:pt idx="19">
                  <c:v>4.6379360480475846E-3</c:v>
                </c:pt>
                <c:pt idx="20">
                  <c:v>4.0288647153538561E-3</c:v>
                </c:pt>
                <c:pt idx="21">
                  <c:v>3.3914090852013769E-3</c:v>
                </c:pt>
                <c:pt idx="22">
                  <c:v>2.7664144225990391E-3</c:v>
                </c:pt>
                <c:pt idx="23">
                  <c:v>2.1867234742945704E-3</c:v>
                </c:pt>
                <c:pt idx="24">
                  <c:v>1.6749816755666825E-3</c:v>
                </c:pt>
                <c:pt idx="25">
                  <c:v>1.2432710452133853E-3</c:v>
                </c:pt>
                <c:pt idx="26">
                  <c:v>8.9425452157972085E-4</c:v>
                </c:pt>
                <c:pt idx="27">
                  <c:v>6.232984346191215E-4</c:v>
                </c:pt>
                <c:pt idx="28">
                  <c:v>4.2098875323787649E-4</c:v>
                </c:pt>
                <c:pt idx="29">
                  <c:v>2.7553991333403687E-4</c:v>
                </c:pt>
                <c:pt idx="30">
                  <c:v>1.7475841909193502E-4</c:v>
                </c:pt>
                <c:pt idx="31">
                  <c:v>1.0740667278544683E-4</c:v>
                </c:pt>
                <c:pt idx="32">
                  <c:v>6.396817868699247E-5</c:v>
                </c:pt>
                <c:pt idx="33">
                  <c:v>3.6917839230597057E-5</c:v>
                </c:pt>
                <c:pt idx="34">
                  <c:v>2.064658029714311E-5</c:v>
                </c:pt>
                <c:pt idx="35">
                  <c:v>1.1189213285219697E-5</c:v>
                </c:pt>
                <c:pt idx="36">
                  <c:v>5.8761184829264248E-6</c:v>
                </c:pt>
                <c:pt idx="37">
                  <c:v>2.9903437055440938E-6</c:v>
                </c:pt>
                <c:pt idx="38">
                  <c:v>1.4746578006249198E-6</c:v>
                </c:pt>
                <c:pt idx="39">
                  <c:v>7.0469467919979588E-7</c:v>
                </c:pt>
                <c:pt idx="40">
                  <c:v>3.2632501101540292E-7</c:v>
                </c:pt>
                <c:pt idx="41">
                  <c:v>1.4643315817791021E-7</c:v>
                </c:pt>
                <c:pt idx="42">
                  <c:v>6.3674909944451166E-8</c:v>
                </c:pt>
                <c:pt idx="43">
                  <c:v>2.683103257861499E-8</c:v>
                </c:pt>
                <c:pt idx="44">
                  <c:v>1.0955877460602616E-8</c:v>
                </c:pt>
                <c:pt idx="45">
                  <c:v>4.3350975136796963E-9</c:v>
                </c:pt>
                <c:pt idx="46">
                  <c:v>1.6622443545254704E-9</c:v>
                </c:pt>
                <c:pt idx="47">
                  <c:v>6.1764623090634944E-10</c:v>
                </c:pt>
                <c:pt idx="48">
                  <c:v>2.2240404115220842E-10</c:v>
                </c:pt>
                <c:pt idx="49">
                  <c:v>7.7610562777356066E-11</c:v>
                </c:pt>
                <c:pt idx="50">
                  <c:v>2.6248665395268871E-11</c:v>
                </c:pt>
              </c:numCache>
            </c:numRef>
          </c:val>
        </c:ser>
        <c:ser>
          <c:idx val="5"/>
          <c:order val="5"/>
          <c:tx>
            <c:strRef>
              <c:f>'Mixture of 2 Gaussian dist.'!$B$155</c:f>
              <c:strCache>
                <c:ptCount val="1"/>
                <c:pt idx="0">
                  <c:v>-2.033925225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dist.'!$C$155:$BA$155</c:f>
              <c:numCache>
                <c:formatCode>General</c:formatCode>
                <c:ptCount val="51"/>
                <c:pt idx="0">
                  <c:v>2.3558160526930956E-4</c:v>
                </c:pt>
                <c:pt idx="1">
                  <c:v>3.7411872813399011E-4</c:v>
                </c:pt>
                <c:pt idx="2">
                  <c:v>5.757276504749191E-4</c:v>
                </c:pt>
                <c:pt idx="3">
                  <c:v>8.5854742998928678E-4</c:v>
                </c:pt>
                <c:pt idx="4">
                  <c:v>1.2406550948439541E-3</c:v>
                </c:pt>
                <c:pt idx="5">
                  <c:v>1.7373103233097862E-3</c:v>
                </c:pt>
                <c:pt idx="6">
                  <c:v>2.3574544129074705E-3</c:v>
                </c:pt>
                <c:pt idx="7">
                  <c:v>3.0999077689756295E-3</c:v>
                </c:pt>
                <c:pt idx="8">
                  <c:v>3.9499700969960324E-3</c:v>
                </c:pt>
                <c:pt idx="9">
                  <c:v>4.8772880917145531E-3</c:v>
                </c:pt>
                <c:pt idx="10">
                  <c:v>5.8358292550806266E-3</c:v>
                </c:pt>
                <c:pt idx="11">
                  <c:v>6.7665346558199143E-3</c:v>
                </c:pt>
                <c:pt idx="12">
                  <c:v>7.6027307497039927E-3</c:v>
                </c:pt>
                <c:pt idx="13">
                  <c:v>8.277753244070948E-3</c:v>
                </c:pt>
                <c:pt idx="14">
                  <c:v>8.7336323943284239E-3</c:v>
                </c:pt>
                <c:pt idx="15">
                  <c:v>8.9292895550445849E-3</c:v>
                </c:pt>
                <c:pt idx="16">
                  <c:v>8.8466423599919755E-3</c:v>
                </c:pt>
                <c:pt idx="17">
                  <c:v>8.493361338364952E-3</c:v>
                </c:pt>
                <c:pt idx="18">
                  <c:v>7.901695641095734E-3</c:v>
                </c:pt>
                <c:pt idx="19">
                  <c:v>7.1236169737566206E-3</c:v>
                </c:pt>
                <c:pt idx="20">
                  <c:v>6.2232950093931262E-3</c:v>
                </c:pt>
                <c:pt idx="21">
                  <c:v>5.2684126473189806E-3</c:v>
                </c:pt>
                <c:pt idx="22">
                  <c:v>4.3219401113940292E-3</c:v>
                </c:pt>
                <c:pt idx="23">
                  <c:v>3.4357161133382413E-3</c:v>
                </c:pt>
                <c:pt idx="24">
                  <c:v>2.6466430044675242E-3</c:v>
                </c:pt>
                <c:pt idx="25">
                  <c:v>1.9756637176888353E-3</c:v>
                </c:pt>
                <c:pt idx="26">
                  <c:v>1.4291251093404721E-3</c:v>
                </c:pt>
                <c:pt idx="27">
                  <c:v>1.0017677384964519E-3</c:v>
                </c:pt>
                <c:pt idx="28">
                  <c:v>6.8046125063325248E-4</c:v>
                </c:pt>
                <c:pt idx="29">
                  <c:v>4.4789820595083474E-4</c:v>
                </c:pt>
                <c:pt idx="30">
                  <c:v>2.8568985125975566E-4</c:v>
                </c:pt>
                <c:pt idx="31">
                  <c:v>1.765833978229172E-4</c:v>
                </c:pt>
                <c:pt idx="32">
                  <c:v>1.0576561330240273E-4</c:v>
                </c:pt>
                <c:pt idx="33">
                  <c:v>6.1387321147781681E-5</c:v>
                </c:pt>
                <c:pt idx="34">
                  <c:v>3.4526490774915703E-5</c:v>
                </c:pt>
                <c:pt idx="35">
                  <c:v>1.8817666496167687E-5</c:v>
                </c:pt>
                <c:pt idx="36">
                  <c:v>9.9384502942644175E-6</c:v>
                </c:pt>
                <c:pt idx="37">
                  <c:v>5.0864075805400005E-6</c:v>
                </c:pt>
                <c:pt idx="38">
                  <c:v>2.5225701511176859E-6</c:v>
                </c:pt>
                <c:pt idx="39">
                  <c:v>1.212313663523764E-6</c:v>
                </c:pt>
                <c:pt idx="40">
                  <c:v>5.6458130798395955E-7</c:v>
                </c:pt>
                <c:pt idx="41">
                  <c:v>2.5478739361879705E-7</c:v>
                </c:pt>
                <c:pt idx="42">
                  <c:v>1.1142168547388985E-7</c:v>
                </c:pt>
                <c:pt idx="43">
                  <c:v>4.7217465368408554E-8</c:v>
                </c:pt>
                <c:pt idx="44">
                  <c:v>1.9390026414417694E-8</c:v>
                </c:pt>
                <c:pt idx="45">
                  <c:v>7.7161405557238603E-9</c:v>
                </c:pt>
                <c:pt idx="46">
                  <c:v>2.9755973177709993E-9</c:v>
                </c:pt>
                <c:pt idx="47">
                  <c:v>1.112020264171933E-9</c:v>
                </c:pt>
                <c:pt idx="48">
                  <c:v>4.0275338104239098E-10</c:v>
                </c:pt>
                <c:pt idx="49">
                  <c:v>1.4138330333753142E-10</c:v>
                </c:pt>
                <c:pt idx="50">
                  <c:v>4.8114169743052362E-11</c:v>
                </c:pt>
              </c:numCache>
            </c:numRef>
          </c:val>
        </c:ser>
        <c:ser>
          <c:idx val="6"/>
          <c:order val="6"/>
          <c:tx>
            <c:strRef>
              <c:f>'Mixture of 2 Gaussian dist.'!$B$156</c:f>
              <c:strCache>
                <c:ptCount val="1"/>
                <c:pt idx="0">
                  <c:v>-1.842738557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dist.'!$C$156:$BA$156</c:f>
              <c:numCache>
                <c:formatCode>General</c:formatCode>
                <c:ptCount val="51"/>
                <c:pt idx="0">
                  <c:v>3.1309374978896227E-4</c:v>
                </c:pt>
                <c:pt idx="1">
                  <c:v>5.0003956716521776E-4</c:v>
                </c:pt>
                <c:pt idx="2">
                  <c:v>7.7388051016553548E-4</c:v>
                </c:pt>
                <c:pt idx="3">
                  <c:v>1.1606011969118432E-3</c:v>
                </c:pt>
                <c:pt idx="4">
                  <c:v>1.6866760766314948E-3</c:v>
                </c:pt>
                <c:pt idx="5">
                  <c:v>2.3753079489918323E-3</c:v>
                </c:pt>
                <c:pt idx="6">
                  <c:v>3.241512683796903E-3</c:v>
                </c:pt>
                <c:pt idx="7">
                  <c:v>4.2866210728886474E-3</c:v>
                </c:pt>
                <c:pt idx="8">
                  <c:v>5.4931572309000025E-3</c:v>
                </c:pt>
                <c:pt idx="9">
                  <c:v>6.8213216971690456E-3</c:v>
                </c:pt>
                <c:pt idx="10">
                  <c:v>8.208326052638203E-3</c:v>
                </c:pt>
                <c:pt idx="11">
                  <c:v>9.5715050544568411E-3</c:v>
                </c:pt>
                <c:pt idx="12">
                  <c:v>1.0815470894403306E-2</c:v>
                </c:pt>
                <c:pt idx="13">
                  <c:v>1.1842685577385857E-2</c:v>
                </c:pt>
                <c:pt idx="14">
                  <c:v>1.2565926961401453E-2</c:v>
                </c:pt>
                <c:pt idx="15">
                  <c:v>1.2920473490623632E-2</c:v>
                </c:pt>
                <c:pt idx="16">
                  <c:v>1.2873655811969885E-2</c:v>
                </c:pt>
                <c:pt idx="17">
                  <c:v>1.2429822423649105E-2</c:v>
                </c:pt>
                <c:pt idx="18">
                  <c:v>1.1629673463577808E-2</c:v>
                </c:pt>
                <c:pt idx="19">
                  <c:v>1.0544104065877151E-2</c:v>
                </c:pt>
                <c:pt idx="20">
                  <c:v>9.263847825893852E-3</c:v>
                </c:pt>
                <c:pt idx="21">
                  <c:v>7.8870157376077655E-3</c:v>
                </c:pt>
                <c:pt idx="22">
                  <c:v>6.5068915511255461E-3</c:v>
                </c:pt>
                <c:pt idx="23">
                  <c:v>5.2020436944796066E-3</c:v>
                </c:pt>
                <c:pt idx="24">
                  <c:v>4.0300829859591172E-3</c:v>
                </c:pt>
                <c:pt idx="25">
                  <c:v>3.0254748598841025E-3</c:v>
                </c:pt>
                <c:pt idx="26">
                  <c:v>2.2009626571250912E-3</c:v>
                </c:pt>
                <c:pt idx="27">
                  <c:v>1.5515699714923111E-3</c:v>
                </c:pt>
                <c:pt idx="28">
                  <c:v>1.0599115474986258E-3</c:v>
                </c:pt>
                <c:pt idx="29">
                  <c:v>7.0162886536978119E-4</c:v>
                </c:pt>
                <c:pt idx="30">
                  <c:v>4.5007494621931911E-4</c:v>
                </c:pt>
                <c:pt idx="31">
                  <c:v>2.7977042032151028E-4</c:v>
                </c:pt>
                <c:pt idx="32">
                  <c:v>1.6852266547786457E-4</c:v>
                </c:pt>
                <c:pt idx="33">
                  <c:v>9.8368129350047604E-5</c:v>
                </c:pt>
                <c:pt idx="34">
                  <c:v>5.5640378690635378E-5</c:v>
                </c:pt>
                <c:pt idx="35">
                  <c:v>3.0497575840134168E-5</c:v>
                </c:pt>
                <c:pt idx="36">
                  <c:v>1.6198699728335356E-5</c:v>
                </c:pt>
                <c:pt idx="37">
                  <c:v>8.3374762987088272E-6</c:v>
                </c:pt>
                <c:pt idx="38">
                  <c:v>4.1584238650497669E-6</c:v>
                </c:pt>
                <c:pt idx="39">
                  <c:v>2.0098456784396488E-6</c:v>
                </c:pt>
                <c:pt idx="40">
                  <c:v>9.4131884804805109E-7</c:v>
                </c:pt>
                <c:pt idx="41">
                  <c:v>4.2721985632293347E-7</c:v>
                </c:pt>
                <c:pt idx="42">
                  <c:v>1.8789180696155835E-7</c:v>
                </c:pt>
                <c:pt idx="43">
                  <c:v>8.0077075342960402E-8</c:v>
                </c:pt>
                <c:pt idx="44">
                  <c:v>3.3071726912953563E-8</c:v>
                </c:pt>
                <c:pt idx="45">
                  <c:v>1.3236171583810916E-8</c:v>
                </c:pt>
                <c:pt idx="46">
                  <c:v>5.1338274611436269E-9</c:v>
                </c:pt>
                <c:pt idx="47">
                  <c:v>1.9298571023138534E-9</c:v>
                </c:pt>
                <c:pt idx="48">
                  <c:v>7.0319209087648009E-10</c:v>
                </c:pt>
                <c:pt idx="49">
                  <c:v>2.4842769364095105E-10</c:v>
                </c:pt>
                <c:pt idx="50">
                  <c:v>8.5135549863505912E-11</c:v>
                </c:pt>
              </c:numCache>
            </c:numRef>
          </c:val>
        </c:ser>
        <c:ser>
          <c:idx val="7"/>
          <c:order val="7"/>
          <c:tx>
            <c:strRef>
              <c:f>'Mixture of 2 Gaussian dist.'!$B$157</c:f>
              <c:strCache>
                <c:ptCount val="1"/>
                <c:pt idx="0">
                  <c:v>-1.651551889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dist.'!$C$157:$BA$157</c:f>
              <c:numCache>
                <c:formatCode>General</c:formatCode>
                <c:ptCount val="51"/>
                <c:pt idx="0">
                  <c:v>4.0099664458373272E-4</c:v>
                </c:pt>
                <c:pt idx="1">
                  <c:v>6.4406931867442034E-4</c:v>
                </c:pt>
                <c:pt idx="2">
                  <c:v>1.0024530698253369E-3</c:v>
                </c:pt>
                <c:pt idx="3">
                  <c:v>1.5119417342745922E-3</c:v>
                </c:pt>
                <c:pt idx="4">
                  <c:v>2.2097626367730393E-3</c:v>
                </c:pt>
                <c:pt idx="5">
                  <c:v>3.1296499407249584E-3</c:v>
                </c:pt>
                <c:pt idx="6">
                  <c:v>4.2952205286032469E-3</c:v>
                </c:pt>
                <c:pt idx="7">
                  <c:v>5.712349038766577E-3</c:v>
                </c:pt>
                <c:pt idx="8">
                  <c:v>7.3617924893211806E-3</c:v>
                </c:pt>
                <c:pt idx="9">
                  <c:v>9.1937348255903342E-3</c:v>
                </c:pt>
                <c:pt idx="10">
                  <c:v>1.1126022683732684E-2</c:v>
                </c:pt>
                <c:pt idx="11">
                  <c:v>1.3047505089894823E-2</c:v>
                </c:pt>
                <c:pt idx="12">
                  <c:v>1.4827043952821516E-2</c:v>
                </c:pt>
                <c:pt idx="13">
                  <c:v>1.6327558223405605E-2</c:v>
                </c:pt>
                <c:pt idx="14">
                  <c:v>1.742318200603192E-2</c:v>
                </c:pt>
                <c:pt idx="15">
                  <c:v>1.8016618054072748E-2</c:v>
                </c:pt>
                <c:pt idx="16">
                  <c:v>1.8053384683888157E-2</c:v>
                </c:pt>
                <c:pt idx="17">
                  <c:v>1.7530066632762874E-2</c:v>
                </c:pt>
                <c:pt idx="18">
                  <c:v>1.6494838342903082E-2</c:v>
                </c:pt>
                <c:pt idx="19">
                  <c:v>1.5040148574742443E-2</c:v>
                </c:pt>
                <c:pt idx="20">
                  <c:v>1.3289105690447521E-2</c:v>
                </c:pt>
                <c:pt idx="21">
                  <c:v>1.1378341142974386E-2</c:v>
                </c:pt>
                <c:pt idx="22">
                  <c:v>9.4406459730447291E-3</c:v>
                </c:pt>
                <c:pt idx="23">
                  <c:v>7.5903890957286961E-3</c:v>
                </c:pt>
                <c:pt idx="24">
                  <c:v>5.9137904630305344E-3</c:v>
                </c:pt>
                <c:pt idx="25">
                  <c:v>4.4648553372148977E-3</c:v>
                </c:pt>
                <c:pt idx="26">
                  <c:v>3.2665432887725903E-3</c:v>
                </c:pt>
                <c:pt idx="27">
                  <c:v>2.3158424469185948E-3</c:v>
                </c:pt>
                <c:pt idx="28">
                  <c:v>1.590996293887217E-3</c:v>
                </c:pt>
                <c:pt idx="29">
                  <c:v>1.059177856223742E-3</c:v>
                </c:pt>
                <c:pt idx="30">
                  <c:v>6.8329490748146788E-4</c:v>
                </c:pt>
                <c:pt idx="31">
                  <c:v>4.2715652331353513E-4</c:v>
                </c:pt>
                <c:pt idx="32">
                  <c:v>2.5876496276771611E-4</c:v>
                </c:pt>
                <c:pt idx="33">
                  <c:v>1.5190199376545019E-4</c:v>
                </c:pt>
                <c:pt idx="34">
                  <c:v>8.6409413892880695E-5</c:v>
                </c:pt>
                <c:pt idx="35">
                  <c:v>4.7631937414134867E-5</c:v>
                </c:pt>
                <c:pt idx="36">
                  <c:v>2.544339598101663E-5</c:v>
                </c:pt>
                <c:pt idx="37">
                  <c:v>1.317017774598882E-5</c:v>
                </c:pt>
                <c:pt idx="38">
                  <c:v>6.6061450155030686E-6</c:v>
                </c:pt>
                <c:pt idx="39">
                  <c:v>3.2110335532397034E-6</c:v>
                </c:pt>
                <c:pt idx="40">
                  <c:v>1.5124554976797257E-6</c:v>
                </c:pt>
                <c:pt idx="41">
                  <c:v>6.90339763734749E-7</c:v>
                </c:pt>
                <c:pt idx="42">
                  <c:v>3.0534351031847622E-7</c:v>
                </c:pt>
                <c:pt idx="43">
                  <c:v>1.3087778307633291E-7</c:v>
                </c:pt>
                <c:pt idx="44">
                  <c:v>5.4363341089405097E-8</c:v>
                </c:pt>
                <c:pt idx="45">
                  <c:v>2.1884247962458136E-8</c:v>
                </c:pt>
                <c:pt idx="46">
                  <c:v>8.5385676834771441E-9</c:v>
                </c:pt>
                <c:pt idx="47">
                  <c:v>3.2295866364436885E-9</c:v>
                </c:pt>
                <c:pt idx="48">
                  <c:v>1.1845897812271028E-9</c:v>
                </c:pt>
                <c:pt idx="49">
                  <c:v>4.2162461288101899E-10</c:v>
                </c:pt>
                <c:pt idx="50">
                  <c:v>1.457892549209756E-10</c:v>
                </c:pt>
              </c:numCache>
            </c:numRef>
          </c:val>
        </c:ser>
        <c:ser>
          <c:idx val="8"/>
          <c:order val="8"/>
          <c:tx>
            <c:strRef>
              <c:f>'Mixture of 2 Gaussian dist.'!$B$158</c:f>
              <c:strCache>
                <c:ptCount val="1"/>
                <c:pt idx="0">
                  <c:v>-1.460365221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dist.'!$C$158:$BA$158</c:f>
              <c:numCache>
                <c:formatCode>General</c:formatCode>
                <c:ptCount val="51"/>
                <c:pt idx="0">
                  <c:v>4.9492614737536281E-4</c:v>
                </c:pt>
                <c:pt idx="1">
                  <c:v>7.9945527307667197E-4</c:v>
                </c:pt>
                <c:pt idx="2">
                  <c:v>1.2513751036233166E-3</c:v>
                </c:pt>
                <c:pt idx="3">
                  <c:v>1.8981057963626917E-3</c:v>
                </c:pt>
                <c:pt idx="4">
                  <c:v>2.7899273002290653E-3</c:v>
                </c:pt>
                <c:pt idx="5">
                  <c:v>3.9737901040481239E-3</c:v>
                </c:pt>
                <c:pt idx="6">
                  <c:v>5.4847460914941104E-3</c:v>
                </c:pt>
                <c:pt idx="7">
                  <c:v>7.335803622614278E-3</c:v>
                </c:pt>
                <c:pt idx="8">
                  <c:v>9.5077648610624368E-3</c:v>
                </c:pt>
                <c:pt idx="9">
                  <c:v>1.1941220952789208E-2</c:v>
                </c:pt>
                <c:pt idx="10">
                  <c:v>1.4533111389568669E-2</c:v>
                </c:pt>
                <c:pt idx="11">
                  <c:v>1.7139890231420256E-2</c:v>
                </c:pt>
                <c:pt idx="12">
                  <c:v>1.9588313065005625E-2</c:v>
                </c:pt>
                <c:pt idx="13">
                  <c:v>2.1693299022957493E-2</c:v>
                </c:pt>
                <c:pt idx="14">
                  <c:v>2.3280576738004745E-2</c:v>
                </c:pt>
                <c:pt idx="15">
                  <c:v>2.4210370382231942E-2</c:v>
                </c:pt>
                <c:pt idx="16">
                  <c:v>2.4397689402139777E-2</c:v>
                </c:pt>
                <c:pt idx="17">
                  <c:v>2.3825143709112605E-2</c:v>
                </c:pt>
                <c:pt idx="18">
                  <c:v>2.254560665571323E-2</c:v>
                </c:pt>
                <c:pt idx="19">
                  <c:v>2.0674160749094055E-2</c:v>
                </c:pt>
                <c:pt idx="20">
                  <c:v>1.8371026255216191E-2</c:v>
                </c:pt>
                <c:pt idx="21">
                  <c:v>1.5818981314835352E-2</c:v>
                </c:pt>
                <c:pt idx="22">
                  <c:v>1.3199673060719324E-2</c:v>
                </c:pt>
                <c:pt idx="23">
                  <c:v>1.0673021932514123E-2</c:v>
                </c:pt>
                <c:pt idx="24">
                  <c:v>8.3627900815027318E-3</c:v>
                </c:pt>
                <c:pt idx="25">
                  <c:v>6.3497197128803938E-3</c:v>
                </c:pt>
                <c:pt idx="26">
                  <c:v>4.6719424154808113E-3</c:v>
                </c:pt>
                <c:pt idx="27">
                  <c:v>3.3310409634347122E-3</c:v>
                </c:pt>
                <c:pt idx="28">
                  <c:v>2.3014525869066854E-3</c:v>
                </c:pt>
                <c:pt idx="29">
                  <c:v>1.540861692053424E-3</c:v>
                </c:pt>
                <c:pt idx="30">
                  <c:v>9.9968885931213196E-4</c:v>
                </c:pt>
                <c:pt idx="31">
                  <c:v>6.2850048526508098E-4</c:v>
                </c:pt>
                <c:pt idx="32">
                  <c:v>3.8290052253958087E-4</c:v>
                </c:pt>
                <c:pt idx="33">
                  <c:v>2.2605071743320125E-4</c:v>
                </c:pt>
                <c:pt idx="34">
                  <c:v>1.2931992257108482E-4</c:v>
                </c:pt>
                <c:pt idx="35">
                  <c:v>7.16910025269031E-5</c:v>
                </c:pt>
                <c:pt idx="36">
                  <c:v>3.8512672817824823E-5</c:v>
                </c:pt>
                <c:pt idx="37">
                  <c:v>2.0048537573856742E-5</c:v>
                </c:pt>
                <c:pt idx="38">
                  <c:v>1.0113518400535128E-5</c:v>
                </c:pt>
                <c:pt idx="39">
                  <c:v>4.9438283649360061E-6</c:v>
                </c:pt>
                <c:pt idx="40">
                  <c:v>2.3418985964535391E-6</c:v>
                </c:pt>
                <c:pt idx="41">
                  <c:v>1.0750296243363212E-6</c:v>
                </c:pt>
                <c:pt idx="42">
                  <c:v>4.7822075124437634E-7</c:v>
                </c:pt>
                <c:pt idx="43">
                  <c:v>2.0616152859739502E-7</c:v>
                </c:pt>
                <c:pt idx="44">
                  <c:v>8.6136677089728985E-8</c:v>
                </c:pt>
                <c:pt idx="45">
                  <c:v>3.488407640543655E-8</c:v>
                </c:pt>
                <c:pt idx="46">
                  <c:v>1.3697242852696032E-8</c:v>
                </c:pt>
                <c:pt idx="47">
                  <c:v>5.2168399101687256E-9</c:v>
                </c:pt>
                <c:pt idx="48">
                  <c:v>1.928949499080154E-9</c:v>
                </c:pt>
                <c:pt idx="49">
                  <c:v>6.9349432098817174E-10</c:v>
                </c:pt>
                <c:pt idx="50">
                  <c:v>2.4308449354003156E-10</c:v>
                </c:pt>
              </c:numCache>
            </c:numRef>
          </c:val>
        </c:ser>
        <c:ser>
          <c:idx val="9"/>
          <c:order val="9"/>
          <c:tx>
            <c:strRef>
              <c:f>'Mixture of 2 Gaussian dist.'!$B$159</c:f>
              <c:strCache>
                <c:ptCount val="1"/>
                <c:pt idx="0">
                  <c:v>-1.269178553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dist.'!$C$159:$BA$159</c:f>
              <c:numCache>
                <c:formatCode>General</c:formatCode>
                <c:ptCount val="51"/>
                <c:pt idx="0">
                  <c:v>5.886719982379975E-4</c:v>
                </c:pt>
                <c:pt idx="1">
                  <c:v>9.5628875925840085E-4</c:v>
                </c:pt>
                <c:pt idx="2">
                  <c:v>1.505373580842138E-3</c:v>
                </c:pt>
                <c:pt idx="3">
                  <c:v>2.2963553563937872E-3</c:v>
                </c:pt>
                <c:pt idx="4">
                  <c:v>3.3944816589289747E-3</c:v>
                </c:pt>
                <c:pt idx="5">
                  <c:v>4.8623632895851273E-3</c:v>
                </c:pt>
                <c:pt idx="6">
                  <c:v>6.7493337992414948E-3</c:v>
                </c:pt>
                <c:pt idx="7">
                  <c:v>9.0784974740662043E-3</c:v>
                </c:pt>
                <c:pt idx="8">
                  <c:v>1.1833320105530594E-2</c:v>
                </c:pt>
                <c:pt idx="9">
                  <c:v>1.4946476194905696E-2</c:v>
                </c:pt>
                <c:pt idx="10">
                  <c:v>1.8294080373645067E-2</c:v>
                </c:pt>
                <c:pt idx="11">
                  <c:v>2.1698110518836081E-2</c:v>
                </c:pt>
                <c:pt idx="12">
                  <c:v>2.4938642937920443E-2</c:v>
                </c:pt>
                <c:pt idx="13">
                  <c:v>2.7775589407320347E-2</c:v>
                </c:pt>
                <c:pt idx="14">
                  <c:v>2.99773553525263E-2</c:v>
                </c:pt>
                <c:pt idx="15">
                  <c:v>3.1351831380508857E-2</c:v>
                </c:pt>
                <c:pt idx="16">
                  <c:v>3.1774013772585458E-2</c:v>
                </c:pt>
                <c:pt idx="17">
                  <c:v>3.1204757384815315E-2</c:v>
                </c:pt>
                <c:pt idx="18">
                  <c:v>2.9696762608285666E-2</c:v>
                </c:pt>
                <c:pt idx="19">
                  <c:v>2.7386527589772888E-2</c:v>
                </c:pt>
                <c:pt idx="20">
                  <c:v>2.4473968663062687E-2</c:v>
                </c:pt>
                <c:pt idx="21">
                  <c:v>2.1193925089087566E-2</c:v>
                </c:pt>
                <c:pt idx="22">
                  <c:v>1.7785167366207954E-2</c:v>
                </c:pt>
                <c:pt idx="23">
                  <c:v>1.4462523713629846E-2</c:v>
                </c:pt>
                <c:pt idx="24">
                  <c:v>1.1396454943531658E-2</c:v>
                </c:pt>
                <c:pt idx="25">
                  <c:v>8.7023197757063638E-3</c:v>
                </c:pt>
                <c:pt idx="26">
                  <c:v>6.4393178719827854E-3</c:v>
                </c:pt>
                <c:pt idx="27">
                  <c:v>4.617259221422784E-3</c:v>
                </c:pt>
                <c:pt idx="28">
                  <c:v>3.2082501102403157E-3</c:v>
                </c:pt>
                <c:pt idx="29">
                  <c:v>2.1601889862022795E-3</c:v>
                </c:pt>
                <c:pt idx="30">
                  <c:v>1.4094667976709478E-3</c:v>
                </c:pt>
                <c:pt idx="31">
                  <c:v>8.9116379178055523E-4</c:v>
                </c:pt>
                <c:pt idx="32">
                  <c:v>5.4600901479479698E-4</c:v>
                </c:pt>
                <c:pt idx="33">
                  <c:v>3.2417664797525084E-4</c:v>
                </c:pt>
                <c:pt idx="34">
                  <c:v>1.8651052807588825E-4</c:v>
                </c:pt>
                <c:pt idx="35">
                  <c:v>1.0398359938475481E-4</c:v>
                </c:pt>
                <c:pt idx="36">
                  <c:v>5.6178034775658688E-5</c:v>
                </c:pt>
                <c:pt idx="37">
                  <c:v>2.9410954474876809E-5</c:v>
                </c:pt>
                <c:pt idx="38">
                  <c:v>1.4920863306439087E-5</c:v>
                </c:pt>
                <c:pt idx="39">
                  <c:v>7.3354000505205467E-6</c:v>
                </c:pt>
                <c:pt idx="40">
                  <c:v>3.4946538512878321E-6</c:v>
                </c:pt>
                <c:pt idx="41">
                  <c:v>1.6134140276402606E-6</c:v>
                </c:pt>
                <c:pt idx="42">
                  <c:v>7.2188795848518383E-7</c:v>
                </c:pt>
                <c:pt idx="43">
                  <c:v>3.1305201714346787E-7</c:v>
                </c:pt>
                <c:pt idx="44">
                  <c:v>1.3160213873971714E-7</c:v>
                </c:pt>
                <c:pt idx="45">
                  <c:v>5.3648060413942094E-8</c:v>
                </c:pt>
                <c:pt idx="46">
                  <c:v>2.1220664878254903E-8</c:v>
                </c:pt>
                <c:pt idx="47">
                  <c:v>8.1539990939816269E-9</c:v>
                </c:pt>
                <c:pt idx="48">
                  <c:v>3.0498191957795602E-9</c:v>
                </c:pt>
                <c:pt idx="49">
                  <c:v>1.1143393976353211E-9</c:v>
                </c:pt>
                <c:pt idx="50">
                  <c:v>4.001335871278531E-10</c:v>
                </c:pt>
              </c:numCache>
            </c:numRef>
          </c:val>
        </c:ser>
        <c:ser>
          <c:idx val="10"/>
          <c:order val="10"/>
          <c:tx>
            <c:strRef>
              <c:f>'Mixture of 2 Gaussian dist.'!$B$160</c:f>
              <c:strCache>
                <c:ptCount val="1"/>
                <c:pt idx="0">
                  <c:v>-1.077991885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dist.'!$C$160:$BA$160</c:f>
              <c:numCache>
                <c:formatCode>General</c:formatCode>
                <c:ptCount val="51"/>
                <c:pt idx="0">
                  <c:v>6.7474500252037261E-4</c:v>
                </c:pt>
                <c:pt idx="1">
                  <c:v>1.1023442718987929E-3</c:v>
                </c:pt>
                <c:pt idx="2">
                  <c:v>1.7451565391471276E-3</c:v>
                </c:pt>
                <c:pt idx="3">
                  <c:v>2.6772633585941405E-3</c:v>
                </c:pt>
                <c:pt idx="4">
                  <c:v>3.9800393477521121E-3</c:v>
                </c:pt>
                <c:pt idx="5">
                  <c:v>5.7335447063668905E-3</c:v>
                </c:pt>
                <c:pt idx="6">
                  <c:v>8.0038438432172808E-3</c:v>
                </c:pt>
                <c:pt idx="7">
                  <c:v>1.0827135617355514E-2</c:v>
                </c:pt>
                <c:pt idx="8">
                  <c:v>1.4192800969750907E-2</c:v>
                </c:pt>
                <c:pt idx="9">
                  <c:v>1.8028608776878348E-2</c:v>
                </c:pt>
                <c:pt idx="10">
                  <c:v>2.2191971333589418E-2</c:v>
                </c:pt>
                <c:pt idx="11">
                  <c:v>2.6470924966092293E-2</c:v>
                </c:pt>
                <c:pt idx="12">
                  <c:v>3.0597216350841158E-2</c:v>
                </c:pt>
                <c:pt idx="13">
                  <c:v>3.4271592389643203E-2</c:v>
                </c:pt>
                <c:pt idx="14">
                  <c:v>3.7198567567701055E-2</c:v>
                </c:pt>
                <c:pt idx="15">
                  <c:v>3.9125303122394567E-2</c:v>
                </c:pt>
                <c:pt idx="16">
                  <c:v>3.9877578636946152E-2</c:v>
                </c:pt>
                <c:pt idx="17">
                  <c:v>3.9385776408552821E-2</c:v>
                </c:pt>
                <c:pt idx="18">
                  <c:v>3.7695508675960845E-2</c:v>
                </c:pt>
                <c:pt idx="19">
                  <c:v>3.4960639764075103E-2</c:v>
                </c:pt>
                <c:pt idx="20">
                  <c:v>3.14201823210098E-2</c:v>
                </c:pt>
                <c:pt idx="21">
                  <c:v>2.7363874898545217E-2</c:v>
                </c:pt>
                <c:pt idx="22">
                  <c:v>2.3093303215386638E-2</c:v>
                </c:pt>
                <c:pt idx="23">
                  <c:v>1.8885743446051116E-2</c:v>
                </c:pt>
                <c:pt idx="24">
                  <c:v>1.4966549272504098E-2</c:v>
                </c:pt>
                <c:pt idx="25">
                  <c:v>1.1493408437345441E-2</c:v>
                </c:pt>
                <c:pt idx="26">
                  <c:v>8.5529428050734185E-3</c:v>
                </c:pt>
                <c:pt idx="27">
                  <c:v>6.1676804303940685E-3</c:v>
                </c:pt>
                <c:pt idx="28">
                  <c:v>4.3099053123064213E-3</c:v>
                </c:pt>
                <c:pt idx="29">
                  <c:v>2.9184561319508641E-3</c:v>
                </c:pt>
                <c:pt idx="30">
                  <c:v>1.9150415292794876E-3</c:v>
                </c:pt>
                <c:pt idx="31">
                  <c:v>1.2177070834251159E-3</c:v>
                </c:pt>
                <c:pt idx="32">
                  <c:v>7.5032104352651212E-4</c:v>
                </c:pt>
                <c:pt idx="33">
                  <c:v>4.4801358614790277E-4</c:v>
                </c:pt>
                <c:pt idx="34">
                  <c:v>2.5922400878769611E-4</c:v>
                </c:pt>
                <c:pt idx="35">
                  <c:v>1.4534486457945729E-4</c:v>
                </c:pt>
                <c:pt idx="36">
                  <c:v>7.8970613580704472E-5</c:v>
                </c:pt>
                <c:pt idx="37">
                  <c:v>4.1579048749982041E-5</c:v>
                </c:pt>
                <c:pt idx="38">
                  <c:v>2.1214389518233661E-5</c:v>
                </c:pt>
                <c:pt idx="39">
                  <c:v>1.0489164385073005E-5</c:v>
                </c:pt>
                <c:pt idx="40">
                  <c:v>5.0259730529552337E-6</c:v>
                </c:pt>
                <c:pt idx="41">
                  <c:v>2.3339770837840209E-6</c:v>
                </c:pt>
                <c:pt idx="42">
                  <c:v>1.0505687626463437E-6</c:v>
                </c:pt>
                <c:pt idx="43">
                  <c:v>4.58465869285613E-7</c:v>
                </c:pt>
                <c:pt idx="44">
                  <c:v>1.9406080823677096E-7</c:v>
                </c:pt>
                <c:pt idx="45">
                  <c:v>7.9739882268751398E-8</c:v>
                </c:pt>
                <c:pt idx="46">
                  <c:v>3.1854694783942967E-8</c:v>
                </c:pt>
                <c:pt idx="47">
                  <c:v>1.240495703694274E-8</c:v>
                </c:pt>
                <c:pt idx="48">
                  <c:v>4.7309738525089937E-9</c:v>
                </c:pt>
                <c:pt idx="49">
                  <c:v>1.7805125405245961E-9</c:v>
                </c:pt>
                <c:pt idx="50">
                  <c:v>6.6897759393811313E-10</c:v>
                </c:pt>
              </c:numCache>
            </c:numRef>
          </c:val>
        </c:ser>
        <c:ser>
          <c:idx val="11"/>
          <c:order val="11"/>
          <c:tx>
            <c:strRef>
              <c:f>'Mixture of 2 Gaussian dist.'!$B$161</c:f>
              <c:strCache>
                <c:ptCount val="1"/>
                <c:pt idx="0">
                  <c:v>-0.886805217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dist.'!$C$161:$BA$161</c:f>
              <c:numCache>
                <c:formatCode>General</c:formatCode>
                <c:ptCount val="51"/>
                <c:pt idx="0">
                  <c:v>7.4531402685538701E-4</c:v>
                </c:pt>
                <c:pt idx="1">
                  <c:v>1.2245563309456892E-3</c:v>
                </c:pt>
                <c:pt idx="2">
                  <c:v>1.9496551769156276E-3</c:v>
                </c:pt>
                <c:pt idx="3">
                  <c:v>3.0079901701644519E-3</c:v>
                </c:pt>
                <c:pt idx="4">
                  <c:v>4.4971211174254615E-3</c:v>
                </c:pt>
                <c:pt idx="5">
                  <c:v>6.5152685574224782E-3</c:v>
                </c:pt>
                <c:pt idx="6">
                  <c:v>9.1468093217878608E-3</c:v>
                </c:pt>
                <c:pt idx="7">
                  <c:v>1.244361298973916E-2</c:v>
                </c:pt>
                <c:pt idx="8">
                  <c:v>1.6404497497956791E-2</c:v>
                </c:pt>
                <c:pt idx="9">
                  <c:v>2.095650878565011E-2</c:v>
                </c:pt>
                <c:pt idx="10">
                  <c:v>2.5942659889044799E-2</c:v>
                </c:pt>
                <c:pt idx="11">
                  <c:v>3.1120720020502923E-2</c:v>
                </c:pt>
                <c:pt idx="12">
                  <c:v>3.6176315863318945E-2</c:v>
                </c:pt>
                <c:pt idx="13">
                  <c:v>4.0751031254250648E-2</c:v>
                </c:pt>
                <c:pt idx="14">
                  <c:v>4.4482832767308321E-2</c:v>
                </c:pt>
                <c:pt idx="15">
                  <c:v>4.7052839308145078E-2</c:v>
                </c:pt>
                <c:pt idx="16">
                  <c:v>4.8230170827140977E-2</c:v>
                </c:pt>
                <c:pt idx="17">
                  <c:v>4.7906156759831918E-2</c:v>
                </c:pt>
                <c:pt idx="18">
                  <c:v>4.6110881903679471E-2</c:v>
                </c:pt>
                <c:pt idx="19">
                  <c:v>4.3008578812866842E-2</c:v>
                </c:pt>
                <c:pt idx="20">
                  <c:v>3.8872844524361454E-2</c:v>
                </c:pt>
                <c:pt idx="21">
                  <c:v>3.4046864081311315E-2</c:v>
                </c:pt>
                <c:pt idx="22">
                  <c:v>2.889664874252686E-2</c:v>
                </c:pt>
                <c:pt idx="23">
                  <c:v>2.3766071920106272E-2</c:v>
                </c:pt>
                <c:pt idx="24">
                  <c:v>1.8941174356209466E-2</c:v>
                </c:pt>
                <c:pt idx="25">
                  <c:v>1.4628370920164389E-2</c:v>
                </c:pt>
                <c:pt idx="26">
                  <c:v>1.0947743020424129E-2</c:v>
                </c:pt>
                <c:pt idx="27">
                  <c:v>7.9394934897112721E-3</c:v>
                </c:pt>
                <c:pt idx="28">
                  <c:v>5.5795680386967177E-3</c:v>
                </c:pt>
                <c:pt idx="29">
                  <c:v>3.799688129068229E-3</c:v>
                </c:pt>
                <c:pt idx="30">
                  <c:v>2.5074654127936035E-3</c:v>
                </c:pt>
                <c:pt idx="31">
                  <c:v>1.6034729679009637E-3</c:v>
                </c:pt>
                <c:pt idx="32">
                  <c:v>9.9363794685710196E-4</c:v>
                </c:pt>
                <c:pt idx="33">
                  <c:v>5.9667085552837741E-4</c:v>
                </c:pt>
                <c:pt idx="34">
                  <c:v>3.4720200363387593E-4</c:v>
                </c:pt>
                <c:pt idx="35">
                  <c:v>1.9578148066912325E-4</c:v>
                </c:pt>
                <c:pt idx="36">
                  <c:v>1.0698071700574623E-4</c:v>
                </c:pt>
                <c:pt idx="37">
                  <c:v>5.664857033355016E-5</c:v>
                </c:pt>
                <c:pt idx="38">
                  <c:v>2.9069124081434464E-5</c:v>
                </c:pt>
                <c:pt idx="39">
                  <c:v>1.445619681938332E-5</c:v>
                </c:pt>
                <c:pt idx="40">
                  <c:v>6.9677606277939426E-6</c:v>
                </c:pt>
                <c:pt idx="41">
                  <c:v>3.2555339619776669E-6</c:v>
                </c:pt>
                <c:pt idx="42">
                  <c:v>1.4749559049698445E-6</c:v>
                </c:pt>
                <c:pt idx="43">
                  <c:v>6.4836846413184477E-7</c:v>
                </c:pt>
                <c:pt idx="44">
                  <c:v>2.7683886847167549E-7</c:v>
                </c:pt>
                <c:pt idx="45">
                  <c:v>1.1504210730400981E-7</c:v>
                </c:pt>
                <c:pt idx="46">
                  <c:v>4.6690926966523012E-8</c:v>
                </c:pt>
                <c:pt idx="47">
                  <c:v>1.8618186521839798E-8</c:v>
                </c:pt>
                <c:pt idx="48">
                  <c:v>7.3637864956137511E-9</c:v>
                </c:pt>
                <c:pt idx="49">
                  <c:v>2.9289344474047327E-9</c:v>
                </c:pt>
                <c:pt idx="50">
                  <c:v>1.1916337481703198E-9</c:v>
                </c:pt>
              </c:numCache>
            </c:numRef>
          </c:val>
        </c:ser>
        <c:ser>
          <c:idx val="12"/>
          <c:order val="12"/>
          <c:tx>
            <c:strRef>
              <c:f>'Mixture of 2 Gaussian dist.'!$B$162</c:f>
              <c:strCache>
                <c:ptCount val="1"/>
                <c:pt idx="0">
                  <c:v>-0.695618549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dist.'!$C$162:$BA$162</c:f>
              <c:numCache>
                <c:formatCode>General</c:formatCode>
                <c:ptCount val="51"/>
                <c:pt idx="0">
                  <c:v>7.9336352936596843E-4</c:v>
                </c:pt>
                <c:pt idx="1">
                  <c:v>1.310912200924181E-3</c:v>
                </c:pt>
                <c:pt idx="2">
                  <c:v>2.099010180512095E-3</c:v>
                </c:pt>
                <c:pt idx="3">
                  <c:v>3.2568297051096423E-3</c:v>
                </c:pt>
                <c:pt idx="4">
                  <c:v>4.8968310715625692E-3</c:v>
                </c:pt>
                <c:pt idx="5">
                  <c:v>7.1346842844240638E-3</c:v>
                </c:pt>
                <c:pt idx="6">
                  <c:v>1.0073350929283378E-2</c:v>
                </c:pt>
                <c:pt idx="7">
                  <c:v>1.3782015497495637E-2</c:v>
                </c:pt>
                <c:pt idx="8">
                  <c:v>1.8272209671768291E-2</c:v>
                </c:pt>
                <c:pt idx="9">
                  <c:v>2.3475182236156182E-2</c:v>
                </c:pt>
                <c:pt idx="10">
                  <c:v>2.922580220486486E-2</c:v>
                </c:pt>
                <c:pt idx="11">
                  <c:v>3.525847102062471E-2</c:v>
                </c:pt>
                <c:pt idx="12">
                  <c:v>4.1219249099233066E-2</c:v>
                </c:pt>
                <c:pt idx="13">
                  <c:v>4.6695630376364095E-2</c:v>
                </c:pt>
                <c:pt idx="14">
                  <c:v>5.1261578521322834E-2</c:v>
                </c:pt>
                <c:pt idx="15">
                  <c:v>5.4531478712555051E-2</c:v>
                </c:pt>
                <c:pt idx="16">
                  <c:v>5.6213695854298938E-2</c:v>
                </c:pt>
                <c:pt idx="17">
                  <c:v>5.6153466403380543E-2</c:v>
                </c:pt>
                <c:pt idx="18">
                  <c:v>5.4356385266837469E-2</c:v>
                </c:pt>
                <c:pt idx="19">
                  <c:v>5.0987548528251971E-2</c:v>
                </c:pt>
                <c:pt idx="20">
                  <c:v>4.6346534013567545E-2</c:v>
                </c:pt>
                <c:pt idx="21">
                  <c:v>4.0823473782258667E-2</c:v>
                </c:pt>
                <c:pt idx="22">
                  <c:v>3.4845140469202111E-2</c:v>
                </c:pt>
                <c:pt idx="23">
                  <c:v>2.8821332035778902E-2</c:v>
                </c:pt>
                <c:pt idx="24">
                  <c:v>2.3100716243731924E-2</c:v>
                </c:pt>
                <c:pt idx="25">
                  <c:v>1.7942229682088667E-2</c:v>
                </c:pt>
                <c:pt idx="26">
                  <c:v>1.3504140631670348E-2</c:v>
                </c:pt>
                <c:pt idx="27">
                  <c:v>9.8491119822275222E-3</c:v>
                </c:pt>
                <c:pt idx="28">
                  <c:v>6.9609225529354852E-3</c:v>
                </c:pt>
                <c:pt idx="29">
                  <c:v>4.7673405327274074E-3</c:v>
                </c:pt>
                <c:pt idx="30">
                  <c:v>3.1639184868832038E-3</c:v>
                </c:pt>
                <c:pt idx="31">
                  <c:v>2.0347653273059488E-3</c:v>
                </c:pt>
                <c:pt idx="32">
                  <c:v>1.2680713891276966E-3</c:v>
                </c:pt>
                <c:pt idx="33">
                  <c:v>7.6579802014806078E-4</c:v>
                </c:pt>
                <c:pt idx="34">
                  <c:v>4.4815435505883149E-4</c:v>
                </c:pt>
                <c:pt idx="35">
                  <c:v>2.5414832593685579E-4</c:v>
                </c:pt>
                <c:pt idx="36">
                  <c:v>1.3966897124181266E-4</c:v>
                </c:pt>
                <c:pt idx="37">
                  <c:v>7.4383927005469751E-5</c:v>
                </c:pt>
                <c:pt idx="38">
                  <c:v>3.8392911345076798E-5</c:v>
                </c:pt>
                <c:pt idx="39">
                  <c:v>1.9207314005403199E-5</c:v>
                </c:pt>
                <c:pt idx="40">
                  <c:v>9.3158659172953239E-6</c:v>
                </c:pt>
                <c:pt idx="41">
                  <c:v>4.3823284251046056E-6</c:v>
                </c:pt>
                <c:pt idx="42">
                  <c:v>2.0010373057884442E-6</c:v>
                </c:pt>
                <c:pt idx="43">
                  <c:v>8.8818719067951073E-7</c:v>
                </c:pt>
                <c:pt idx="44">
                  <c:v>3.8422510503556254E-7</c:v>
                </c:pt>
                <c:pt idx="45">
                  <c:v>1.6273197391908028E-7</c:v>
                </c:pt>
                <c:pt idx="46">
                  <c:v>6.7990326463679024E-8</c:v>
                </c:pt>
                <c:pt idx="47">
                  <c:v>2.8350720632688081E-8</c:v>
                </c:pt>
                <c:pt idx="48">
                  <c:v>1.1986777515876435E-8</c:v>
                </c:pt>
                <c:pt idx="49">
                  <c:v>5.2294756741701136E-9</c:v>
                </c:pt>
                <c:pt idx="50">
                  <c:v>2.3851344112910097E-9</c:v>
                </c:pt>
              </c:numCache>
            </c:numRef>
          </c:val>
        </c:ser>
        <c:ser>
          <c:idx val="13"/>
          <c:order val="13"/>
          <c:tx>
            <c:strRef>
              <c:f>'Mixture of 2 Gaussian dist.'!$B$163</c:f>
              <c:strCache>
                <c:ptCount val="1"/>
                <c:pt idx="0">
                  <c:v>-0.504431881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dist.'!$C$163:$BA$163</c:f>
              <c:numCache>
                <c:formatCode>General</c:formatCode>
                <c:ptCount val="51"/>
                <c:pt idx="0">
                  <c:v>8.1383898358672714E-4</c:v>
                </c:pt>
                <c:pt idx="1">
                  <c:v>1.3523894137370091E-3</c:v>
                </c:pt>
                <c:pt idx="2">
                  <c:v>2.1777328489696185E-3</c:v>
                </c:pt>
                <c:pt idx="3">
                  <c:v>3.3981849156865286E-3</c:v>
                </c:pt>
                <c:pt idx="4">
                  <c:v>5.1384126661873503E-3</c:v>
                </c:pt>
                <c:pt idx="5">
                  <c:v>7.5292291930033348E-3</c:v>
                </c:pt>
                <c:pt idx="6">
                  <c:v>1.0690834869345578E-2</c:v>
                </c:pt>
                <c:pt idx="7">
                  <c:v>1.4709987092013814E-2</c:v>
                </c:pt>
                <c:pt idx="8">
                  <c:v>1.9613383849504382E-2</c:v>
                </c:pt>
                <c:pt idx="9">
                  <c:v>2.5341500727514937E-2</c:v>
                </c:pt>
                <c:pt idx="10">
                  <c:v>3.1728657656443768E-2</c:v>
                </c:pt>
                <c:pt idx="11">
                  <c:v>3.8495559262622173E-2</c:v>
                </c:pt>
                <c:pt idx="12">
                  <c:v>4.5259435633503667E-2</c:v>
                </c:pt>
                <c:pt idx="13">
                  <c:v>5.1564071394584354E-2</c:v>
                </c:pt>
                <c:pt idx="14">
                  <c:v>5.692785681088279E-2</c:v>
                </c:pt>
                <c:pt idx="15">
                  <c:v>6.0903469397470204E-2</c:v>
                </c:pt>
                <c:pt idx="16">
                  <c:v>6.3139159798986266E-2</c:v>
                </c:pt>
                <c:pt idx="17">
                  <c:v>6.3430061101595075E-2</c:v>
                </c:pt>
                <c:pt idx="18">
                  <c:v>6.1749156187908286E-2</c:v>
                </c:pt>
                <c:pt idx="19">
                  <c:v>5.8251416555578535E-2</c:v>
                </c:pt>
                <c:pt idx="20">
                  <c:v>5.3250234053187753E-2</c:v>
                </c:pt>
                <c:pt idx="21">
                  <c:v>4.7171112348067784E-2</c:v>
                </c:pt>
                <c:pt idx="22">
                  <c:v>4.0492098170637252E-2</c:v>
                </c:pt>
                <c:pt idx="23">
                  <c:v>3.3682476302298321E-2</c:v>
                </c:pt>
                <c:pt idx="24">
                  <c:v>2.7150467719757224E-2</c:v>
                </c:pt>
                <c:pt idx="25">
                  <c:v>2.12075351201284E-2</c:v>
                </c:pt>
                <c:pt idx="26">
                  <c:v>1.605249944380497E-2</c:v>
                </c:pt>
                <c:pt idx="27">
                  <c:v>1.177429056292612E-2</c:v>
                </c:pt>
                <c:pt idx="28">
                  <c:v>8.3688639961982721E-3</c:v>
                </c:pt>
                <c:pt idx="29">
                  <c:v>5.764187132337925E-3</c:v>
                </c:pt>
                <c:pt idx="30">
                  <c:v>3.8472436827941539E-3</c:v>
                </c:pt>
                <c:pt idx="31">
                  <c:v>2.4882953322527984E-3</c:v>
                </c:pt>
                <c:pt idx="32">
                  <c:v>1.5595377048186955E-3</c:v>
                </c:pt>
                <c:pt idx="33">
                  <c:v>9.4718286915037122E-4</c:v>
                </c:pt>
                <c:pt idx="34">
                  <c:v>5.5746855966773022E-4</c:v>
                </c:pt>
                <c:pt idx="35">
                  <c:v>3.1795426752839902E-4</c:v>
                </c:pt>
                <c:pt idx="36">
                  <c:v>1.7574570616595971E-4</c:v>
                </c:pt>
                <c:pt idx="37">
                  <c:v>9.4149022830887364E-5</c:v>
                </c:pt>
                <c:pt idx="38">
                  <c:v>4.889067249563647E-5</c:v>
                </c:pt>
                <c:pt idx="39">
                  <c:v>2.4617575897407716E-5</c:v>
                </c:pt>
                <c:pt idx="40">
                  <c:v>1.2025932076093976E-5</c:v>
                </c:pt>
                <c:pt idx="41">
                  <c:v>5.7056081772756461E-6</c:v>
                </c:pt>
                <c:pt idx="42">
                  <c:v>2.6340637713763366E-6</c:v>
                </c:pt>
                <c:pt idx="43">
                  <c:v>1.1873307292982134E-6</c:v>
                </c:pt>
                <c:pt idx="44">
                  <c:v>5.2562542408527695E-7</c:v>
                </c:pt>
                <c:pt idx="45">
                  <c:v>2.306986237080543E-7</c:v>
                </c:pt>
                <c:pt idx="46">
                  <c:v>1.0179114354683157E-7</c:v>
                </c:pt>
                <c:pt idx="47">
                  <c:v>4.5944764287582631E-8</c:v>
                </c:pt>
                <c:pt idx="48">
                  <c:v>2.1569094079987223E-8</c:v>
                </c:pt>
                <c:pt idx="49">
                  <c:v>1.0622806479603301E-8</c:v>
                </c:pt>
                <c:pt idx="50">
                  <c:v>5.4647707974161733E-9</c:v>
                </c:pt>
              </c:numCache>
            </c:numRef>
          </c:val>
        </c:ser>
        <c:ser>
          <c:idx val="14"/>
          <c:order val="14"/>
          <c:tx>
            <c:strRef>
              <c:f>'Mixture of 2 Gaussian dist.'!$B$164</c:f>
              <c:strCache>
                <c:ptCount val="1"/>
                <c:pt idx="0">
                  <c:v>-0.313245213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dist.'!$C$164:$BA$164</c:f>
              <c:numCache>
                <c:formatCode>General</c:formatCode>
                <c:ptCount val="51"/>
                <c:pt idx="0">
                  <c:v>8.0452226075767186E-4</c:v>
                </c:pt>
                <c:pt idx="1">
                  <c:v>1.3445075300678607E-3</c:v>
                </c:pt>
                <c:pt idx="2">
                  <c:v>2.1773486606969082E-3</c:v>
                </c:pt>
                <c:pt idx="3">
                  <c:v>3.4169001223701275E-3</c:v>
                </c:pt>
                <c:pt idx="4">
                  <c:v>5.1960839161233046E-3</c:v>
                </c:pt>
                <c:pt idx="5">
                  <c:v>7.6570166999791354E-3</c:v>
                </c:pt>
                <c:pt idx="6">
                  <c:v>1.0934088845305371E-2</c:v>
                </c:pt>
                <c:pt idx="7">
                  <c:v>1.5130217415497157E-2</c:v>
                </c:pt>
                <c:pt idx="8">
                  <c:v>2.0288376941128866E-2</c:v>
                </c:pt>
                <c:pt idx="9">
                  <c:v>2.6362646587523252E-2</c:v>
                </c:pt>
                <c:pt idx="10">
                  <c:v>3.3194816807571435E-2</c:v>
                </c:pt>
                <c:pt idx="11">
                  <c:v>4.0503365494882378E-2</c:v>
                </c:pt>
                <c:pt idx="12">
                  <c:v>4.7890736043697889E-2</c:v>
                </c:pt>
                <c:pt idx="13">
                  <c:v>5.4872087054140012E-2</c:v>
                </c:pt>
                <c:pt idx="14">
                  <c:v>6.0924365089150778E-2</c:v>
                </c:pt>
                <c:pt idx="15">
                  <c:v>6.5549609863243E-2</c:v>
                </c:pt>
                <c:pt idx="16">
                  <c:v>6.8342171918425537E-2</c:v>
                </c:pt>
                <c:pt idx="17">
                  <c:v>6.9047348868308739E-2</c:v>
                </c:pt>
                <c:pt idx="18">
                  <c:v>6.7599705805517343E-2</c:v>
                </c:pt>
                <c:pt idx="19">
                  <c:v>6.4133090713005422E-2</c:v>
                </c:pt>
                <c:pt idx="20">
                  <c:v>5.8960220742105406E-2</c:v>
                </c:pt>
                <c:pt idx="21">
                  <c:v>5.2526153561349223E-2</c:v>
                </c:pt>
                <c:pt idx="22">
                  <c:v>4.5345235966355958E-2</c:v>
                </c:pt>
                <c:pt idx="23">
                  <c:v>3.7933883493280085E-2</c:v>
                </c:pt>
                <c:pt idx="24">
                  <c:v>3.0751232464307356E-2</c:v>
                </c:pt>
                <c:pt idx="25">
                  <c:v>2.4156685462117123E-2</c:v>
                </c:pt>
                <c:pt idx="26">
                  <c:v>1.8388732613694198E-2</c:v>
                </c:pt>
                <c:pt idx="27">
                  <c:v>1.3564567978569076E-2</c:v>
                </c:pt>
                <c:pt idx="28">
                  <c:v>9.696165488604443E-3</c:v>
                </c:pt>
                <c:pt idx="29">
                  <c:v>6.7163653259857794E-3</c:v>
                </c:pt>
                <c:pt idx="30">
                  <c:v>4.5082664583192952E-3</c:v>
                </c:pt>
                <c:pt idx="31">
                  <c:v>2.932427792825426E-3</c:v>
                </c:pt>
                <c:pt idx="32">
                  <c:v>1.8483773143147851E-3</c:v>
                </c:pt>
                <c:pt idx="33">
                  <c:v>1.1290304535730602E-3</c:v>
                </c:pt>
                <c:pt idx="34">
                  <c:v>6.6832036111486915E-4</c:v>
                </c:pt>
                <c:pt idx="35">
                  <c:v>3.8339985047097515E-4</c:v>
                </c:pt>
                <c:pt idx="36">
                  <c:v>2.1318397855687435E-4</c:v>
                </c:pt>
                <c:pt idx="37">
                  <c:v>1.1491678777003564E-4</c:v>
                </c:pt>
                <c:pt idx="38">
                  <c:v>6.0077500925280708E-5</c:v>
                </c:pt>
                <c:pt idx="39">
                  <c:v>3.0483528656649479E-5</c:v>
                </c:pt>
                <c:pt idx="40">
                  <c:v>1.5033008596854853E-5</c:v>
                </c:pt>
                <c:pt idx="41">
                  <c:v>7.2234604750950162E-6</c:v>
                </c:pt>
                <c:pt idx="42">
                  <c:v>3.3969048625193024E-6</c:v>
                </c:pt>
                <c:pt idx="43">
                  <c:v>1.5750224103305293E-6</c:v>
                </c:pt>
                <c:pt idx="44">
                  <c:v>7.2843866410366672E-7</c:v>
                </c:pt>
                <c:pt idx="45">
                  <c:v>3.4148299550351881E-7</c:v>
                </c:pt>
                <c:pt idx="46">
                  <c:v>1.6522401555602432E-7</c:v>
                </c:pt>
                <c:pt idx="47">
                  <c:v>8.367287400631024E-8</c:v>
                </c:pt>
                <c:pt idx="48">
                  <c:v>4.447465629765098E-8</c:v>
                </c:pt>
                <c:pt idx="49">
                  <c:v>2.4555078618429798E-8</c:v>
                </c:pt>
                <c:pt idx="50">
                  <c:v>1.3826086229473946E-8</c:v>
                </c:pt>
              </c:numCache>
            </c:numRef>
          </c:val>
        </c:ser>
        <c:ser>
          <c:idx val="15"/>
          <c:order val="15"/>
          <c:tx>
            <c:strRef>
              <c:f>'Mixture of 2 Gaussian dist.'!$B$165</c:f>
              <c:strCache>
                <c:ptCount val="1"/>
                <c:pt idx="0">
                  <c:v>-0.122058545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dist.'!$C$165:$BA$165</c:f>
              <c:numCache>
                <c:formatCode>General</c:formatCode>
                <c:ptCount val="51"/>
                <c:pt idx="0">
                  <c:v>7.6642729135640143E-4</c:v>
                </c:pt>
                <c:pt idx="1">
                  <c:v>1.2881250756022454E-3</c:v>
                </c:pt>
                <c:pt idx="2">
                  <c:v>2.0978994756255336E-3</c:v>
                </c:pt>
                <c:pt idx="3">
                  <c:v>3.3109367192861012E-3</c:v>
                </c:pt>
                <c:pt idx="4">
                  <c:v>5.0635680669682799E-3</c:v>
                </c:pt>
                <c:pt idx="5">
                  <c:v>7.5041583623811255E-3</c:v>
                </c:pt>
                <c:pt idx="6">
                  <c:v>1.0776727334754687E-2</c:v>
                </c:pt>
                <c:pt idx="7">
                  <c:v>1.4997240816811037E-2</c:v>
                </c:pt>
                <c:pt idx="8">
                  <c:v>2.0224388613142089E-2</c:v>
                </c:pt>
                <c:pt idx="9">
                  <c:v>2.6428894926096513E-2</c:v>
                </c:pt>
                <c:pt idx="10">
                  <c:v>3.3467415309654476E-2</c:v>
                </c:pt>
                <c:pt idx="11">
                  <c:v>4.1068128093443221E-2</c:v>
                </c:pt>
                <c:pt idx="12">
                  <c:v>4.8834552112640942E-2</c:v>
                </c:pt>
                <c:pt idx="13">
                  <c:v>5.6271575665899652E-2</c:v>
                </c:pt>
                <c:pt idx="14">
                  <c:v>6.2833392575266239E-2</c:v>
                </c:pt>
                <c:pt idx="15">
                  <c:v>6.7987881484439239E-2</c:v>
                </c:pt>
                <c:pt idx="16">
                  <c:v>7.1287284914334351E-2</c:v>
                </c:pt>
                <c:pt idx="17">
                  <c:v>7.2432288354235708E-2</c:v>
                </c:pt>
                <c:pt idx="18">
                  <c:v>7.1316809248018975E-2</c:v>
                </c:pt>
                <c:pt idx="19">
                  <c:v>6.8044208950062052E-2</c:v>
                </c:pt>
                <c:pt idx="20">
                  <c:v>6.2911494549303698E-2</c:v>
                </c:pt>
                <c:pt idx="21">
                  <c:v>5.6364856502100935E-2</c:v>
                </c:pt>
                <c:pt idx="22">
                  <c:v>4.8935765208431653E-2</c:v>
                </c:pt>
                <c:pt idx="23">
                  <c:v>4.1170292038736483E-2</c:v>
                </c:pt>
                <c:pt idx="24">
                  <c:v>3.3564572558194609E-2</c:v>
                </c:pt>
                <c:pt idx="25">
                  <c:v>2.6516607130626934E-2</c:v>
                </c:pt>
                <c:pt idx="26">
                  <c:v>2.0299930732281889E-2</c:v>
                </c:pt>
                <c:pt idx="27">
                  <c:v>1.5059520898802536E-2</c:v>
                </c:pt>
                <c:pt idx="28">
                  <c:v>1.0826005216846176E-2</c:v>
                </c:pt>
                <c:pt idx="29">
                  <c:v>7.5416570306449165E-3</c:v>
                </c:pt>
                <c:pt idx="30">
                  <c:v>5.0910671919563192E-3</c:v>
                </c:pt>
                <c:pt idx="31">
                  <c:v>3.3304162122721362E-3</c:v>
                </c:pt>
                <c:pt idx="32">
                  <c:v>2.1112716529549632E-3</c:v>
                </c:pt>
                <c:pt idx="33">
                  <c:v>1.2970661193622841E-3</c:v>
                </c:pt>
                <c:pt idx="34">
                  <c:v>7.7229798012544589E-4</c:v>
                </c:pt>
                <c:pt idx="35">
                  <c:v>4.4573370578754632E-4</c:v>
                </c:pt>
                <c:pt idx="36">
                  <c:v>2.4943364331964454E-4</c:v>
                </c:pt>
                <c:pt idx="37">
                  <c:v>1.3541094742235203E-4</c:v>
                </c:pt>
                <c:pt idx="38">
                  <c:v>7.1384331160049584E-5</c:v>
                </c:pt>
                <c:pt idx="39">
                  <c:v>3.660966817276938E-5</c:v>
                </c:pt>
                <c:pt idx="40">
                  <c:v>1.8325573518457485E-5</c:v>
                </c:pt>
                <c:pt idx="41">
                  <c:v>9.0044623783353798E-6</c:v>
                </c:pt>
                <c:pt idx="42">
                  <c:v>4.3836917205058206E-6</c:v>
                </c:pt>
                <c:pt idx="43">
                  <c:v>2.1440691742511971E-6</c:v>
                </c:pt>
                <c:pt idx="44">
                  <c:v>1.0724398579485195E-6</c:v>
                </c:pt>
                <c:pt idx="45">
                  <c:v>5.5822172856129162E-7</c:v>
                </c:pt>
                <c:pt idx="46">
                  <c:v>3.0529803781846797E-7</c:v>
                </c:pt>
                <c:pt idx="47">
                  <c:v>1.7478816384101377E-7</c:v>
                </c:pt>
                <c:pt idx="48">
                  <c:v>1.0315879931992084E-7</c:v>
                </c:pt>
                <c:pt idx="49">
                  <c:v>6.1537565781319776E-8</c:v>
                </c:pt>
                <c:pt idx="50">
                  <c:v>3.6454603143656504E-8</c:v>
                </c:pt>
              </c:numCache>
            </c:numRef>
          </c:val>
        </c:ser>
        <c:ser>
          <c:idx val="16"/>
          <c:order val="16"/>
          <c:tx>
            <c:strRef>
              <c:f>'Mixture of 2 Gaussian dist.'!$B$166</c:f>
              <c:strCache>
                <c:ptCount val="1"/>
                <c:pt idx="0">
                  <c:v>0.069128122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dist.'!$C$166:$BA$166</c:f>
              <c:numCache>
                <c:formatCode>General</c:formatCode>
                <c:ptCount val="51"/>
                <c:pt idx="0">
                  <c:v>7.0361838048646258E-4</c:v>
                </c:pt>
                <c:pt idx="1">
                  <c:v>1.1892855706706444E-3</c:v>
                </c:pt>
                <c:pt idx="2">
                  <c:v>1.9479360256950216E-3</c:v>
                </c:pt>
                <c:pt idx="3">
                  <c:v>3.0917387961780715E-3</c:v>
                </c:pt>
                <c:pt idx="4">
                  <c:v>4.7552183956530861E-3</c:v>
                </c:pt>
                <c:pt idx="5">
                  <c:v>7.0872492411121722E-3</c:v>
                </c:pt>
                <c:pt idx="6">
                  <c:v>1.0235864083488793E-2</c:v>
                </c:pt>
                <c:pt idx="7">
                  <c:v>1.4325536020710131E-2</c:v>
                </c:pt>
                <c:pt idx="8">
                  <c:v>1.9428390216717571E-2</c:v>
                </c:pt>
                <c:pt idx="9">
                  <c:v>2.5533027935277907E-2</c:v>
                </c:pt>
                <c:pt idx="10">
                  <c:v>3.2516769260907748E-2</c:v>
                </c:pt>
                <c:pt idx="11">
                  <c:v>4.0128416666374442E-2</c:v>
                </c:pt>
                <c:pt idx="12">
                  <c:v>4.7988395048350355E-2</c:v>
                </c:pt>
                <c:pt idx="13">
                  <c:v>5.5610908826630646E-2</c:v>
                </c:pt>
                <c:pt idx="14">
                  <c:v>6.2448689069580413E-2</c:v>
                </c:pt>
                <c:pt idx="15">
                  <c:v>6.7955752454925619E-2</c:v>
                </c:pt>
                <c:pt idx="16">
                  <c:v>7.1658661465249116E-2</c:v>
                </c:pt>
                <c:pt idx="17">
                  <c:v>7.322354050847929E-2</c:v>
                </c:pt>
                <c:pt idx="18">
                  <c:v>7.2505729047781922E-2</c:v>
                </c:pt>
                <c:pt idx="19">
                  <c:v>6.957184038849161E-2</c:v>
                </c:pt>
                <c:pt idx="20">
                  <c:v>6.4689565128780213E-2</c:v>
                </c:pt>
                <c:pt idx="21">
                  <c:v>5.8287382040379511E-2</c:v>
                </c:pt>
                <c:pt idx="22">
                  <c:v>5.0892579109442615E-2</c:v>
                </c:pt>
                <c:pt idx="23">
                  <c:v>4.3059997090188588E-2</c:v>
                </c:pt>
                <c:pt idx="24">
                  <c:v>3.5304756921698391E-2</c:v>
                </c:pt>
                <c:pt idx="25">
                  <c:v>2.804996319700934E-2</c:v>
                </c:pt>
                <c:pt idx="26">
                  <c:v>2.1595910366308951E-2</c:v>
                </c:pt>
                <c:pt idx="27">
                  <c:v>1.6112077201771949E-2</c:v>
                </c:pt>
                <c:pt idx="28">
                  <c:v>1.164859878713998E-2</c:v>
                </c:pt>
                <c:pt idx="29">
                  <c:v>8.1609499137680983E-3</c:v>
                </c:pt>
                <c:pt idx="30">
                  <c:v>5.540617310022344E-3</c:v>
                </c:pt>
                <c:pt idx="31">
                  <c:v>3.6453323305890503E-3</c:v>
                </c:pt>
                <c:pt idx="32">
                  <c:v>2.3243401230257196E-3</c:v>
                </c:pt>
                <c:pt idx="33">
                  <c:v>1.4364452769870743E-3</c:v>
                </c:pt>
                <c:pt idx="34">
                  <c:v>8.6057625763485003E-4</c:v>
                </c:pt>
                <c:pt idx="35">
                  <c:v>4.9999044469505819E-4</c:v>
                </c:pt>
                <c:pt idx="36">
                  <c:v>2.8191061833791799E-4</c:v>
                </c:pt>
                <c:pt idx="37">
                  <c:v>1.5445712058211947E-4</c:v>
                </c:pt>
                <c:pt idx="38">
                  <c:v>8.243126017079372E-5</c:v>
                </c:pt>
                <c:pt idx="39">
                  <c:v>4.3034039884980906E-5</c:v>
                </c:pt>
                <c:pt idx="40">
                  <c:v>2.213661570603101E-5</c:v>
                </c:pt>
                <c:pt idx="41">
                  <c:v>1.134923042394195E-5</c:v>
                </c:pt>
                <c:pt idx="42">
                  <c:v>5.8937023437451651E-6</c:v>
                </c:pt>
                <c:pt idx="43">
                  <c:v>3.1585107644889015E-6</c:v>
                </c:pt>
                <c:pt idx="44">
                  <c:v>1.7732929484834998E-6</c:v>
                </c:pt>
                <c:pt idx="45">
                  <c:v>1.0469824888542489E-6</c:v>
                </c:pt>
                <c:pt idx="46">
                  <c:v>6.4360406800088918E-7</c:v>
                </c:pt>
                <c:pt idx="47">
                  <c:v>4.0430382371980504E-7</c:v>
                </c:pt>
                <c:pt idx="48">
                  <c:v>2.5450817098838067E-7</c:v>
                </c:pt>
                <c:pt idx="49">
                  <c:v>1.5804475245277959E-7</c:v>
                </c:pt>
                <c:pt idx="50">
                  <c:v>9.5773741649995847E-8</c:v>
                </c:pt>
              </c:numCache>
            </c:numRef>
          </c:val>
        </c:ser>
        <c:ser>
          <c:idx val="17"/>
          <c:order val="17"/>
          <c:tx>
            <c:strRef>
              <c:f>'Mixture of 2 Gaussian dist.'!$B$167</c:f>
              <c:strCache>
                <c:ptCount val="1"/>
                <c:pt idx="0">
                  <c:v>0.26031479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dist.'!$C$167:$BA$167</c:f>
              <c:numCache>
                <c:formatCode>General</c:formatCode>
                <c:ptCount val="51"/>
                <c:pt idx="0">
                  <c:v>6.2249620808649557E-4</c:v>
                </c:pt>
                <c:pt idx="1">
                  <c:v>1.058150847716817E-3</c:v>
                </c:pt>
                <c:pt idx="2">
                  <c:v>1.7430025570602575E-3</c:v>
                </c:pt>
                <c:pt idx="3">
                  <c:v>2.7821979763653815E-3</c:v>
                </c:pt>
                <c:pt idx="4">
                  <c:v>4.3034583357738449E-3</c:v>
                </c:pt>
                <c:pt idx="5">
                  <c:v>6.4504014002119241E-3</c:v>
                </c:pt>
                <c:pt idx="6">
                  <c:v>9.3690476035688548E-3</c:v>
                </c:pt>
                <c:pt idx="7">
                  <c:v>1.3186930466973324E-2</c:v>
                </c:pt>
                <c:pt idx="8">
                  <c:v>1.7985874262118309E-2</c:v>
                </c:pt>
                <c:pt idx="9">
                  <c:v>2.3771629666074722E-2</c:v>
                </c:pt>
                <c:pt idx="10">
                  <c:v>3.0445697276131254E-2</c:v>
                </c:pt>
                <c:pt idx="11">
                  <c:v>3.7786133965456575E-2</c:v>
                </c:pt>
                <c:pt idx="12">
                  <c:v>4.5444210331042262E-2</c:v>
                </c:pt>
                <c:pt idx="13">
                  <c:v>5.2961981914400678E-2</c:v>
                </c:pt>
                <c:pt idx="14">
                  <c:v>5.9812156685974845E-2</c:v>
                </c:pt>
                <c:pt idx="15">
                  <c:v>6.545672348577812E-2</c:v>
                </c:pt>
                <c:pt idx="16">
                  <c:v>6.9415847315375659E-2</c:v>
                </c:pt>
                <c:pt idx="17">
                  <c:v>7.1334983239309466E-2</c:v>
                </c:pt>
                <c:pt idx="18">
                  <c:v>7.1037237998345631E-2</c:v>
                </c:pt>
                <c:pt idx="19">
                  <c:v>6.8550266026110737E-2</c:v>
                </c:pt>
                <c:pt idx="20">
                  <c:v>6.4102033138605491E-2</c:v>
                </c:pt>
                <c:pt idx="21">
                  <c:v>5.8086347245391287E-2</c:v>
                </c:pt>
                <c:pt idx="22">
                  <c:v>5.1005378548808829E-2</c:v>
                </c:pt>
                <c:pt idx="23">
                  <c:v>4.3400788792993E-2</c:v>
                </c:pt>
                <c:pt idx="24">
                  <c:v>3.5786498559113013E-2</c:v>
                </c:pt>
                <c:pt idx="25">
                  <c:v>2.8594410598541169E-2</c:v>
                </c:pt>
                <c:pt idx="26">
                  <c:v>2.214034162900503E-2</c:v>
                </c:pt>
                <c:pt idx="27">
                  <c:v>1.6612328624135048E-2</c:v>
                </c:pt>
                <c:pt idx="28">
                  <c:v>1.2078789508183595E-2</c:v>
                </c:pt>
                <c:pt idx="29">
                  <c:v>8.5108012684061828E-3</c:v>
                </c:pt>
                <c:pt idx="30">
                  <c:v>5.811476684167944E-3</c:v>
                </c:pt>
                <c:pt idx="31">
                  <c:v>3.845926878013846E-3</c:v>
                </c:pt>
                <c:pt idx="32">
                  <c:v>2.4670146746369843E-3</c:v>
                </c:pt>
                <c:pt idx="33">
                  <c:v>1.5343005265920297E-3</c:v>
                </c:pt>
                <c:pt idx="34">
                  <c:v>9.2561652645150748E-4</c:v>
                </c:pt>
                <c:pt idx="35">
                  <c:v>5.4217263308546117E-4</c:v>
                </c:pt>
                <c:pt idx="36">
                  <c:v>3.088724759556214E-4</c:v>
                </c:pt>
                <c:pt idx="37">
                  <c:v>1.7167783410112914E-4</c:v>
                </c:pt>
                <c:pt idx="38">
                  <c:v>9.3609867172106032E-5</c:v>
                </c:pt>
                <c:pt idx="39">
                  <c:v>5.0529840984660061E-5</c:v>
                </c:pt>
                <c:pt idx="40">
                  <c:v>2.7376764995827813E-5</c:v>
                </c:pt>
                <c:pt idx="41">
                  <c:v>1.515854355264841E-5</c:v>
                </c:pt>
                <c:pt idx="42">
                  <c:v>8.7358306591418736E-6</c:v>
                </c:pt>
                <c:pt idx="43">
                  <c:v>5.2970874998882463E-6</c:v>
                </c:pt>
                <c:pt idx="44">
                  <c:v>3.3701089425726961E-6</c:v>
                </c:pt>
                <c:pt idx="45">
                  <c:v>2.2156926406177515E-6</c:v>
                </c:pt>
                <c:pt idx="46">
                  <c:v>1.4751617753133281E-6</c:v>
                </c:pt>
                <c:pt idx="47">
                  <c:v>9.7651019869696669E-7</c:v>
                </c:pt>
                <c:pt idx="48">
                  <c:v>6.3410101262255499E-7</c:v>
                </c:pt>
                <c:pt idx="49">
                  <c:v>4.0035605863304057E-7</c:v>
                </c:pt>
                <c:pt idx="50">
                  <c:v>2.444491564259977E-7</c:v>
                </c:pt>
              </c:numCache>
            </c:numRef>
          </c:val>
        </c:ser>
        <c:ser>
          <c:idx val="18"/>
          <c:order val="18"/>
          <c:tx>
            <c:strRef>
              <c:f>'Mixture of 2 Gaussian dist.'!$B$168</c:f>
              <c:strCache>
                <c:ptCount val="1"/>
                <c:pt idx="0">
                  <c:v>0.451501458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dist.'!$C$168:$BA$168</c:f>
              <c:numCache>
                <c:formatCode>General</c:formatCode>
                <c:ptCount val="51"/>
                <c:pt idx="0">
                  <c:v>5.3072502237488429E-4</c:v>
                </c:pt>
                <c:pt idx="1">
                  <c:v>9.0728209040564502E-4</c:v>
                </c:pt>
                <c:pt idx="2">
                  <c:v>1.5029851105042313E-3</c:v>
                </c:pt>
                <c:pt idx="3">
                  <c:v>2.4127181124101666E-3</c:v>
                </c:pt>
                <c:pt idx="4">
                  <c:v>3.7531684500282836E-3</c:v>
                </c:pt>
                <c:pt idx="5">
                  <c:v>5.6575590482919116E-3</c:v>
                </c:pt>
                <c:pt idx="6">
                  <c:v>8.2641787093093895E-3</c:v>
                </c:pt>
                <c:pt idx="7">
                  <c:v>1.1697952964358781E-2</c:v>
                </c:pt>
                <c:pt idx="8">
                  <c:v>1.6045734713760154E-2</c:v>
                </c:pt>
                <c:pt idx="9">
                  <c:v>2.1327940018195761E-2</c:v>
                </c:pt>
                <c:pt idx="10">
                  <c:v>2.74712094299067E-2</c:v>
                </c:pt>
                <c:pt idx="11">
                  <c:v>3.4288320652848411E-2</c:v>
                </c:pt>
                <c:pt idx="12">
                  <c:v>4.147192711078964E-2</c:v>
                </c:pt>
                <c:pt idx="13">
                  <c:v>4.860733205502115E-2</c:v>
                </c:pt>
                <c:pt idx="14">
                  <c:v>5.5206335263700244E-2</c:v>
                </c:pt>
                <c:pt idx="15">
                  <c:v>6.0759699840124616E-2</c:v>
                </c:pt>
                <c:pt idx="16">
                  <c:v>6.4801027024778121E-2</c:v>
                </c:pt>
                <c:pt idx="17">
                  <c:v>6.6971145737177148E-2</c:v>
                </c:pt>
                <c:pt idx="18">
                  <c:v>6.7070747245441181E-2</c:v>
                </c:pt>
                <c:pt idx="19">
                  <c:v>6.509058120942593E-2</c:v>
                </c:pt>
                <c:pt idx="20">
                  <c:v>6.1212873884126669E-2</c:v>
                </c:pt>
                <c:pt idx="21">
                  <c:v>5.5783667584348696E-2</c:v>
                </c:pt>
                <c:pt idx="22">
                  <c:v>4.9261900107903753E-2</c:v>
                </c:pt>
                <c:pt idx="23">
                  <c:v>4.2155604615893877E-2</c:v>
                </c:pt>
                <c:pt idx="24">
                  <c:v>3.4957479972102329E-2</c:v>
                </c:pt>
                <c:pt idx="25">
                  <c:v>2.8090968770575465E-2</c:v>
                </c:pt>
                <c:pt idx="26">
                  <c:v>2.1874469912899111E-2</c:v>
                </c:pt>
                <c:pt idx="27">
                  <c:v>1.6506595476397167E-2</c:v>
                </c:pt>
                <c:pt idx="28">
                  <c:v>1.2070814592414967E-2</c:v>
                </c:pt>
                <c:pt idx="29">
                  <c:v>8.5544999490382717E-3</c:v>
                </c:pt>
                <c:pt idx="30">
                  <c:v>5.8758533385696067E-3</c:v>
                </c:pt>
                <c:pt idx="31">
                  <c:v>3.9123920123859393E-3</c:v>
                </c:pt>
                <c:pt idx="32">
                  <c:v>2.5261397222468064E-3</c:v>
                </c:pt>
                <c:pt idx="33">
                  <c:v>1.5827026386846679E-3</c:v>
                </c:pt>
                <c:pt idx="34">
                  <c:v>9.6338728680919414E-4</c:v>
                </c:pt>
                <c:pt idx="35">
                  <c:v>5.7101069133868763E-4</c:v>
                </c:pt>
                <c:pt idx="36">
                  <c:v>3.3089578963986537E-4</c:v>
                </c:pt>
                <c:pt idx="37">
                  <c:v>1.8878746010565528E-4</c:v>
                </c:pt>
                <c:pt idx="38">
                  <c:v>1.0724166675907795E-4</c:v>
                </c:pt>
                <c:pt idx="39">
                  <c:v>6.1640452193076169E-5</c:v>
                </c:pt>
                <c:pt idx="40">
                  <c:v>3.6543196075679583E-5</c:v>
                </c:pt>
                <c:pt idx="41">
                  <c:v>2.2709785284370563E-5</c:v>
                </c:pt>
                <c:pt idx="42">
                  <c:v>1.4869913818944334E-5</c:v>
                </c:pt>
                <c:pt idx="43">
                  <c:v>1.0163653898977804E-5</c:v>
                </c:pt>
                <c:pt idx="44">
                  <c:v>7.1161024004076513E-6</c:v>
                </c:pt>
                <c:pt idx="45">
                  <c:v>5.001370402042871E-6</c:v>
                </c:pt>
                <c:pt idx="46">
                  <c:v>3.4711753160207952E-6</c:v>
                </c:pt>
                <c:pt idx="47">
                  <c:v>2.3523394494030591E-6</c:v>
                </c:pt>
                <c:pt idx="48">
                  <c:v>1.5455080639939015E-6</c:v>
                </c:pt>
                <c:pt idx="49">
                  <c:v>9.8025753042493277E-7</c:v>
                </c:pt>
                <c:pt idx="50">
                  <c:v>5.9872250343250728E-7</c:v>
                </c:pt>
              </c:numCache>
            </c:numRef>
          </c:val>
        </c:ser>
        <c:ser>
          <c:idx val="19"/>
          <c:order val="19"/>
          <c:tx>
            <c:strRef>
              <c:f>'Mixture of 2 Gaussian dist.'!$B$169</c:f>
              <c:strCache>
                <c:ptCount val="1"/>
                <c:pt idx="0">
                  <c:v>0.642688126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dist.'!$C$169:$BA$169</c:f>
              <c:numCache>
                <c:formatCode>General</c:formatCode>
                <c:ptCount val="51"/>
                <c:pt idx="0">
                  <c:v>4.3604944407590494E-4</c:v>
                </c:pt>
                <c:pt idx="1">
                  <c:v>7.4967048252016827E-4</c:v>
                </c:pt>
                <c:pt idx="2">
                  <c:v>1.2489488474840284E-3</c:v>
                </c:pt>
                <c:pt idx="3">
                  <c:v>2.0163153574384936E-3</c:v>
                </c:pt>
                <c:pt idx="4">
                  <c:v>3.1543641663045077E-3</c:v>
                </c:pt>
                <c:pt idx="5">
                  <c:v>4.7819471184871306E-3</c:v>
                </c:pt>
                <c:pt idx="6">
                  <c:v>7.0248535359343726E-3</c:v>
                </c:pt>
                <c:pt idx="7">
                  <c:v>1.000021517352904E-2</c:v>
                </c:pt>
                <c:pt idx="8">
                  <c:v>1.3794977033199053E-2</c:v>
                </c:pt>
                <c:pt idx="9">
                  <c:v>1.8440478450131786E-2</c:v>
                </c:pt>
                <c:pt idx="10">
                  <c:v>2.3887073958850098E-2</c:v>
                </c:pt>
                <c:pt idx="11">
                  <c:v>2.9984256868163847E-2</c:v>
                </c:pt>
                <c:pt idx="12">
                  <c:v>3.6472303367987187E-2</c:v>
                </c:pt>
                <c:pt idx="13">
                  <c:v>4.2990516218028609E-2</c:v>
                </c:pt>
                <c:pt idx="14">
                  <c:v>4.9104545513073868E-2</c:v>
                </c:pt>
                <c:pt idx="15">
                  <c:v>5.435134556990099E-2</c:v>
                </c:pt>
                <c:pt idx="16">
                  <c:v>5.8295962490334668E-2</c:v>
                </c:pt>
                <c:pt idx="17">
                  <c:v>6.0590736791653006E-2</c:v>
                </c:pt>
                <c:pt idx="18">
                  <c:v>6.1025814799036938E-2</c:v>
                </c:pt>
                <c:pt idx="19">
                  <c:v>5.9560806942452464E-2</c:v>
                </c:pt>
                <c:pt idx="20">
                  <c:v>5.6330975486492407E-2</c:v>
                </c:pt>
                <c:pt idx="21">
                  <c:v>5.1626639147085984E-2</c:v>
                </c:pt>
                <c:pt idx="22">
                  <c:v>4.5850141379830379E-2</c:v>
                </c:pt>
                <c:pt idx="23">
                  <c:v>3.9459220894883053E-2</c:v>
                </c:pt>
                <c:pt idx="24">
                  <c:v>3.2907804559650027E-2</c:v>
                </c:pt>
                <c:pt idx="25">
                  <c:v>2.6594702050941658E-2</c:v>
                </c:pt>
                <c:pt idx="26">
                  <c:v>2.0827817460280815E-2</c:v>
                </c:pt>
                <c:pt idx="27">
                  <c:v>1.5807314916239226E-2</c:v>
                </c:pt>
                <c:pt idx="28">
                  <c:v>1.162691965614867E-2</c:v>
                </c:pt>
                <c:pt idx="29">
                  <c:v>8.2892602373088459E-3</c:v>
                </c:pt>
                <c:pt idx="30">
                  <c:v>5.7294573262233603E-3</c:v>
                </c:pt>
                <c:pt idx="31">
                  <c:v>3.8410911838874114E-3</c:v>
                </c:pt>
                <c:pt idx="32">
                  <c:v>2.4998473101858249E-3</c:v>
                </c:pt>
                <c:pt idx="33">
                  <c:v>1.5819412822693172E-3</c:v>
                </c:pt>
                <c:pt idx="34">
                  <c:v>9.762621568884458E-4</c:v>
                </c:pt>
                <c:pt idx="35">
                  <c:v>5.9062303314504246E-4</c:v>
                </c:pt>
                <c:pt idx="36">
                  <c:v>3.5337597006129459E-4</c:v>
                </c:pt>
                <c:pt idx="37">
                  <c:v>2.1195301925887205E-4</c:v>
                </c:pt>
                <c:pt idx="38">
                  <c:v>1.2978263682924241E-4</c:v>
                </c:pt>
                <c:pt idx="39">
                  <c:v>8.26912893101484E-5</c:v>
                </c:pt>
                <c:pt idx="40">
                  <c:v>5.5500401846447469E-5</c:v>
                </c:pt>
                <c:pt idx="41">
                  <c:v>3.9178719068889728E-5</c:v>
                </c:pt>
                <c:pt idx="42">
                  <c:v>2.8658844685207189E-5</c:v>
                </c:pt>
                <c:pt idx="43">
                  <c:v>2.1277566905404611E-5</c:v>
                </c:pt>
                <c:pt idx="44">
                  <c:v>1.5730984782643476E-5</c:v>
                </c:pt>
                <c:pt idx="45">
                  <c:v>1.1418826124158673E-5</c:v>
                </c:pt>
                <c:pt idx="46">
                  <c:v>8.0630475943137903E-6</c:v>
                </c:pt>
                <c:pt idx="47">
                  <c:v>5.5072360271183126E-6</c:v>
                </c:pt>
                <c:pt idx="48">
                  <c:v>3.6264239897962472E-6</c:v>
                </c:pt>
                <c:pt idx="49">
                  <c:v>2.2977176609913633E-6</c:v>
                </c:pt>
                <c:pt idx="50">
                  <c:v>1.399285305884428E-6</c:v>
                </c:pt>
              </c:numCache>
            </c:numRef>
          </c:val>
        </c:ser>
        <c:ser>
          <c:idx val="20"/>
          <c:order val="20"/>
          <c:tx>
            <c:strRef>
              <c:f>'Mixture of 2 Gaussian dist.'!$B$170</c:f>
              <c:strCache>
                <c:ptCount val="1"/>
                <c:pt idx="0">
                  <c:v>0.833874794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dist.'!$C$170:$BA$170</c:f>
              <c:numCache>
                <c:formatCode>General</c:formatCode>
                <c:ptCount val="51"/>
                <c:pt idx="0">
                  <c:v>3.4525122614426833E-4</c:v>
                </c:pt>
                <c:pt idx="1">
                  <c:v>5.9694154310541917E-4</c:v>
                </c:pt>
                <c:pt idx="2">
                  <c:v>1.0001564597926925E-3</c:v>
                </c:pt>
                <c:pt idx="3">
                  <c:v>1.6238415541838832E-3</c:v>
                </c:pt>
                <c:pt idx="4">
                  <c:v>2.5548118593297321E-3</c:v>
                </c:pt>
                <c:pt idx="5">
                  <c:v>3.8950565043574564E-3</c:v>
                </c:pt>
                <c:pt idx="6">
                  <c:v>5.7545075885590121E-3</c:v>
                </c:pt>
                <c:pt idx="7">
                  <c:v>8.238386031530983E-3</c:v>
                </c:pt>
                <c:pt idx="8">
                  <c:v>1.1429195861910959E-2</c:v>
                </c:pt>
                <c:pt idx="9">
                  <c:v>1.5364866055133109E-2</c:v>
                </c:pt>
                <c:pt idx="10">
                  <c:v>2.0016191536597783E-2</c:v>
                </c:pt>
                <c:pt idx="11">
                  <c:v>2.5268163836153386E-2</c:v>
                </c:pt>
                <c:pt idx="12">
                  <c:v>3.0910461337543538E-2</c:v>
                </c:pt>
                <c:pt idx="13">
                  <c:v>3.6641804854857615E-2</c:v>
                </c:pt>
                <c:pt idx="14">
                  <c:v>4.2090859841586066E-2</c:v>
                </c:pt>
                <c:pt idx="15">
                  <c:v>4.6853097994532404E-2</c:v>
                </c:pt>
                <c:pt idx="16">
                  <c:v>5.0539205657599721E-2</c:v>
                </c:pt>
                <c:pt idx="17">
                  <c:v>5.2827263982864789E-2</c:v>
                </c:pt>
                <c:pt idx="18">
                  <c:v>5.3509079753936595E-2</c:v>
                </c:pt>
                <c:pt idx="19">
                  <c:v>5.252143819205151E-2</c:v>
                </c:pt>
                <c:pt idx="20">
                  <c:v>4.9955778458288788E-2</c:v>
                </c:pt>
                <c:pt idx="21">
                  <c:v>4.6044242316157322E-2</c:v>
                </c:pt>
                <c:pt idx="22">
                  <c:v>4.1125048866498641E-2</c:v>
                </c:pt>
                <c:pt idx="23">
                  <c:v>3.5594355282938639E-2</c:v>
                </c:pt>
                <c:pt idx="24">
                  <c:v>2.9854085988746171E-2</c:v>
                </c:pt>
                <c:pt idx="25">
                  <c:v>2.4265161569482677E-2</c:v>
                </c:pt>
                <c:pt idx="26">
                  <c:v>1.9113362192271388E-2</c:v>
                </c:pt>
                <c:pt idx="27">
                  <c:v>1.4591528584111403E-2</c:v>
                </c:pt>
                <c:pt idx="28">
                  <c:v>1.0798012154996964E-2</c:v>
                </c:pt>
                <c:pt idx="29">
                  <c:v>7.7482122565036603E-3</c:v>
                </c:pt>
                <c:pt idx="30">
                  <c:v>5.3942879937916256E-3</c:v>
                </c:pt>
                <c:pt idx="31">
                  <c:v>3.6478316745678389E-3</c:v>
                </c:pt>
                <c:pt idx="32">
                  <c:v>2.4011574685357186E-3</c:v>
                </c:pt>
                <c:pt idx="33">
                  <c:v>1.544378106057195E-3</c:v>
                </c:pt>
                <c:pt idx="34">
                  <c:v>9.7707555092332149E-4</c:v>
                </c:pt>
                <c:pt idx="35">
                  <c:v>6.1471203264238218E-4</c:v>
                </c:pt>
                <c:pt idx="36">
                  <c:v>3.9077292433310008E-4</c:v>
                </c:pt>
                <c:pt idx="37">
                  <c:v>2.5597235281578075E-4</c:v>
                </c:pt>
                <c:pt idx="38">
                  <c:v>1.7580390850375051E-4</c:v>
                </c:pt>
                <c:pt idx="39">
                  <c:v>1.2744928029598401E-4</c:v>
                </c:pt>
                <c:pt idx="40">
                  <c:v>9.6719123720609705E-5</c:v>
                </c:pt>
                <c:pt idx="41">
                  <c:v>7.5395526810217674E-5</c:v>
                </c:pt>
                <c:pt idx="42">
                  <c:v>5.912115585443698E-5</c:v>
                </c:pt>
                <c:pt idx="43">
                  <c:v>4.5841137964931069E-5</c:v>
                </c:pt>
                <c:pt idx="44">
                  <c:v>3.4731835459825938E-5</c:v>
                </c:pt>
                <c:pt idx="45">
                  <c:v>2.5522169797516255E-5</c:v>
                </c:pt>
                <c:pt idx="46">
                  <c:v>1.8108785242757174E-5</c:v>
                </c:pt>
                <c:pt idx="47">
                  <c:v>1.2374207124923872E-5</c:v>
                </c:pt>
                <c:pt idx="48">
                  <c:v>8.1312008776618477E-6</c:v>
                </c:pt>
                <c:pt idx="49">
                  <c:v>5.1336969794074506E-6</c:v>
                </c:pt>
                <c:pt idx="50">
                  <c:v>3.1126537646878397E-6</c:v>
                </c:pt>
              </c:numCache>
            </c:numRef>
          </c:val>
        </c:ser>
        <c:ser>
          <c:idx val="21"/>
          <c:order val="21"/>
          <c:tx>
            <c:strRef>
              <c:f>'Mixture of 2 Gaussian dist.'!$B$171</c:f>
              <c:strCache>
                <c:ptCount val="1"/>
                <c:pt idx="0">
                  <c:v>1.025061462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dist.'!$C$171:$BA$171</c:f>
              <c:numCache>
                <c:formatCode>General</c:formatCode>
                <c:ptCount val="51"/>
                <c:pt idx="0">
                  <c:v>2.6343170423972801E-4</c:v>
                </c:pt>
                <c:pt idx="1">
                  <c:v>4.5806437410925307E-4</c:v>
                </c:pt>
                <c:pt idx="2">
                  <c:v>7.7183515641535388E-4</c:v>
                </c:pt>
                <c:pt idx="3">
                  <c:v>1.2602658352557604E-3</c:v>
                </c:pt>
                <c:pt idx="4">
                  <c:v>1.9940651149514565E-3</c:v>
                </c:pt>
                <c:pt idx="5">
                  <c:v>3.0574268466425965E-3</c:v>
                </c:pt>
                <c:pt idx="6">
                  <c:v>4.5426824564203244E-3</c:v>
                </c:pt>
                <c:pt idx="7">
                  <c:v>6.5404593515093626E-3</c:v>
                </c:pt>
                <c:pt idx="8">
                  <c:v>9.125227240424201E-3</c:v>
                </c:pt>
                <c:pt idx="9">
                  <c:v>1.2337259278193921E-2</c:v>
                </c:pt>
                <c:pt idx="10">
                  <c:v>1.616342014996577E-2</c:v>
                </c:pt>
                <c:pt idx="11">
                  <c:v>2.0520474521241672E-2</c:v>
                </c:pt>
                <c:pt idx="12">
                  <c:v>2.5245333067594706E-2</c:v>
                </c:pt>
                <c:pt idx="13">
                  <c:v>3.0096388296465541E-2</c:v>
                </c:pt>
                <c:pt idx="14">
                  <c:v>3.4768602537559895E-2</c:v>
                </c:pt>
                <c:pt idx="15">
                  <c:v>3.8922406186017007E-2</c:v>
                </c:pt>
                <c:pt idx="16">
                  <c:v>4.2223258655396306E-2</c:v>
                </c:pt>
                <c:pt idx="17">
                  <c:v>4.4385743976658523E-2</c:v>
                </c:pt>
                <c:pt idx="18">
                  <c:v>4.5214225190257848E-2</c:v>
                </c:pt>
                <c:pt idx="19">
                  <c:v>4.4632048848344735E-2</c:v>
                </c:pt>
                <c:pt idx="20">
                  <c:v>4.2693262906189931E-2</c:v>
                </c:pt>
                <c:pt idx="21">
                  <c:v>3.9574371769510966E-2</c:v>
                </c:pt>
                <c:pt idx="22">
                  <c:v>3.554787908177811E-2</c:v>
                </c:pt>
                <c:pt idx="23">
                  <c:v>3.0943122512177724E-2</c:v>
                </c:pt>
                <c:pt idx="24">
                  <c:v>2.6102200168129749E-2</c:v>
                </c:pt>
                <c:pt idx="25">
                  <c:v>2.1339107252318808E-2</c:v>
                </c:pt>
                <c:pt idx="26">
                  <c:v>1.6908631244629432E-2</c:v>
                </c:pt>
                <c:pt idx="27">
                  <c:v>1.2988708068049916E-2</c:v>
                </c:pt>
                <c:pt idx="28">
                  <c:v>9.6767132359420506E-3</c:v>
                </c:pt>
                <c:pt idx="29">
                  <c:v>6.9974131694285676E-3</c:v>
                </c:pt>
                <c:pt idx="30">
                  <c:v>4.9186113051740169E-3</c:v>
                </c:pt>
                <c:pt idx="31">
                  <c:v>3.3700686407121755E-3</c:v>
                </c:pt>
                <c:pt idx="32">
                  <c:v>2.2618684859274821E-3</c:v>
                </c:pt>
                <c:pt idx="33">
                  <c:v>1.4996135608110115E-3</c:v>
                </c:pt>
                <c:pt idx="34">
                  <c:v>9.952244109285946E-4</c:v>
                </c:pt>
                <c:pt idx="35">
                  <c:v>6.7328229068189293E-4</c:v>
                </c:pt>
                <c:pt idx="36">
                  <c:v>4.7362951359399832E-4</c:v>
                </c:pt>
                <c:pt idx="37">
                  <c:v>3.5127955381167796E-4</c:v>
                </c:pt>
                <c:pt idx="38">
                  <c:v>2.7469112346053816E-4</c:v>
                </c:pt>
                <c:pt idx="39">
                  <c:v>2.2326718374389551E-4</c:v>
                </c:pt>
                <c:pt idx="40">
                  <c:v>1.8468245616150739E-4</c:v>
                </c:pt>
                <c:pt idx="41">
                  <c:v>1.5240806351401475E-4</c:v>
                </c:pt>
                <c:pt idx="42">
                  <c:v>1.2362602127183824E-4</c:v>
                </c:pt>
                <c:pt idx="43">
                  <c:v>9.760952771709678E-5</c:v>
                </c:pt>
                <c:pt idx="44">
                  <c:v>7.4571027549908997E-5</c:v>
                </c:pt>
                <c:pt idx="45">
                  <c:v>5.4932248035676222E-5</c:v>
                </c:pt>
                <c:pt idx="46">
                  <c:v>3.8939526720325987E-5</c:v>
                </c:pt>
                <c:pt idx="47">
                  <c:v>2.65314156426324E-5</c:v>
                </c:pt>
                <c:pt idx="48">
                  <c:v>1.7364042561621069E-5</c:v>
                </c:pt>
                <c:pt idx="49">
                  <c:v>1.0911835904716313E-5</c:v>
                </c:pt>
                <c:pt idx="50">
                  <c:v>6.5827385089610766E-6</c:v>
                </c:pt>
              </c:numCache>
            </c:numRef>
          </c:val>
        </c:ser>
        <c:ser>
          <c:idx val="22"/>
          <c:order val="22"/>
          <c:tx>
            <c:strRef>
              <c:f>'Mixture of 2 Gaussian dist.'!$B$172</c:f>
              <c:strCache>
                <c:ptCount val="1"/>
                <c:pt idx="0">
                  <c:v>1.21624813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dist.'!$C$172:$BA$172</c:f>
              <c:numCache>
                <c:formatCode>General</c:formatCode>
                <c:ptCount val="51"/>
                <c:pt idx="0">
                  <c:v>1.9370203026165781E-4</c:v>
                </c:pt>
                <c:pt idx="1">
                  <c:v>3.3873069037059769E-4</c:v>
                </c:pt>
                <c:pt idx="2">
                  <c:v>5.7400343045215614E-4</c:v>
                </c:pt>
                <c:pt idx="3">
                  <c:v>9.4257082841889056E-4</c:v>
                </c:pt>
                <c:pt idx="4">
                  <c:v>1.4998680970578304E-3</c:v>
                </c:pt>
                <c:pt idx="5">
                  <c:v>2.3127660662992902E-3</c:v>
                </c:pt>
                <c:pt idx="6">
                  <c:v>3.4558104358387064E-3</c:v>
                </c:pt>
                <c:pt idx="7">
                  <c:v>5.0038891832125815E-3</c:v>
                </c:pt>
                <c:pt idx="8">
                  <c:v>7.0210977738988439E-3</c:v>
                </c:pt>
                <c:pt idx="9">
                  <c:v>9.5464505079794863E-3</c:v>
                </c:pt>
                <c:pt idx="10">
                  <c:v>1.2578197139521323E-2</c:v>
                </c:pt>
                <c:pt idx="11">
                  <c:v>1.6059589426796091E-2</c:v>
                </c:pt>
                <c:pt idx="12">
                  <c:v>1.9869642435016776E-2</c:v>
                </c:pt>
                <c:pt idx="13">
                  <c:v>2.3822385425826452E-2</c:v>
                </c:pt>
                <c:pt idx="14">
                  <c:v>2.7677065536071188E-2</c:v>
                </c:pt>
                <c:pt idx="15">
                  <c:v>3.1159786900677004E-2</c:v>
                </c:pt>
                <c:pt idx="16">
                  <c:v>3.3994499182028265E-2</c:v>
                </c:pt>
                <c:pt idx="17">
                  <c:v>3.5938731299393463E-2</c:v>
                </c:pt>
                <c:pt idx="18">
                  <c:v>3.6817744174202902E-2</c:v>
                </c:pt>
                <c:pt idx="19">
                  <c:v>3.6550457999583535E-2</c:v>
                </c:pt>
                <c:pt idx="20">
                  <c:v>3.5161833253428296E-2</c:v>
                </c:pt>
                <c:pt idx="21">
                  <c:v>3.2779098983103015E-2</c:v>
                </c:pt>
                <c:pt idx="22">
                  <c:v>2.9612635236356787E-2</c:v>
                </c:pt>
                <c:pt idx="23">
                  <c:v>2.592550974307465E-2</c:v>
                </c:pt>
                <c:pt idx="24">
                  <c:v>2.1997794647881021E-2</c:v>
                </c:pt>
                <c:pt idx="25">
                  <c:v>1.8092343831763155E-2</c:v>
                </c:pt>
                <c:pt idx="26">
                  <c:v>1.4427678738415006E-2</c:v>
                </c:pt>
                <c:pt idx="27">
                  <c:v>1.1161448230707006E-2</c:v>
                </c:pt>
                <c:pt idx="28">
                  <c:v>8.3853039496105102E-3</c:v>
                </c:pt>
                <c:pt idx="29">
                  <c:v>6.1296933113746104E-3</c:v>
                </c:pt>
                <c:pt idx="30">
                  <c:v>4.3755398524928345E-3</c:v>
                </c:pt>
                <c:pt idx="31">
                  <c:v>3.0692539615747483E-3</c:v>
                </c:pt>
                <c:pt idx="32">
                  <c:v>2.1378790073899425E-3</c:v>
                </c:pt>
                <c:pt idx="33">
                  <c:v>1.5021020939397427E-3</c:v>
                </c:pt>
                <c:pt idx="34">
                  <c:v>1.0859579685687779E-3</c:v>
                </c:pt>
                <c:pt idx="35">
                  <c:v>8.2301154450257021E-4</c:v>
                </c:pt>
                <c:pt idx="36">
                  <c:v>6.5944454543131808E-4</c:v>
                </c:pt>
                <c:pt idx="37">
                  <c:v>5.5476953755016713E-4</c:v>
                </c:pt>
                <c:pt idx="38">
                  <c:v>4.8092953791610354E-4</c:v>
                </c:pt>
                <c:pt idx="39">
                  <c:v>4.2043301090377447E-4</c:v>
                </c:pt>
                <c:pt idx="40">
                  <c:v>3.6402598838958472E-4</c:v>
                </c:pt>
                <c:pt idx="41">
                  <c:v>3.0827355755226864E-4</c:v>
                </c:pt>
                <c:pt idx="42">
                  <c:v>2.5332479605088008E-4</c:v>
                </c:pt>
                <c:pt idx="43">
                  <c:v>2.010546407717752E-4</c:v>
                </c:pt>
                <c:pt idx="44">
                  <c:v>1.5369615452211717E-4</c:v>
                </c:pt>
                <c:pt idx="45">
                  <c:v>1.129921149500825E-4</c:v>
                </c:pt>
                <c:pt idx="46">
                  <c:v>7.9814898270430008E-5</c:v>
                </c:pt>
                <c:pt idx="47">
                  <c:v>5.414398795882525E-5</c:v>
                </c:pt>
                <c:pt idx="48">
                  <c:v>3.5263103998746847E-5</c:v>
                </c:pt>
                <c:pt idx="49">
                  <c:v>2.2045594121901622E-5</c:v>
                </c:pt>
                <c:pt idx="50">
                  <c:v>1.3228528135660543E-5</c:v>
                </c:pt>
              </c:numCache>
            </c:numRef>
          </c:val>
        </c:ser>
        <c:ser>
          <c:idx val="23"/>
          <c:order val="23"/>
          <c:tx>
            <c:strRef>
              <c:f>'Mixture of 2 Gaussian dist.'!$B$173</c:f>
              <c:strCache>
                <c:ptCount val="1"/>
                <c:pt idx="0">
                  <c:v>1.407434798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dist.'!$C$173:$BA$173</c:f>
              <c:numCache>
                <c:formatCode>General</c:formatCode>
                <c:ptCount val="51"/>
                <c:pt idx="0">
                  <c:v>1.3725672219458475E-4</c:v>
                </c:pt>
                <c:pt idx="1">
                  <c:v>2.4138812315355768E-4</c:v>
                </c:pt>
                <c:pt idx="2">
                  <c:v>4.1137485173386637E-4</c:v>
                </c:pt>
                <c:pt idx="3">
                  <c:v>6.7935870663069192E-4</c:v>
                </c:pt>
                <c:pt idx="4">
                  <c:v>1.0871766562912228E-3</c:v>
                </c:pt>
                <c:pt idx="5">
                  <c:v>1.6859343448139415E-3</c:v>
                </c:pt>
                <c:pt idx="6">
                  <c:v>2.5334991527869756E-3</c:v>
                </c:pt>
                <c:pt idx="7">
                  <c:v>3.689269957356911E-3</c:v>
                </c:pt>
                <c:pt idx="8">
                  <c:v>5.20594618111058E-3</c:v>
                </c:pt>
                <c:pt idx="9">
                  <c:v>7.1186637692917708E-3</c:v>
                </c:pt>
                <c:pt idx="10">
                  <c:v>9.4327181403158957E-3</c:v>
                </c:pt>
                <c:pt idx="11">
                  <c:v>1.2111970640723963E-2</c:v>
                </c:pt>
                <c:pt idx="12">
                  <c:v>1.5070662637970519E-2</c:v>
                </c:pt>
                <c:pt idx="13">
                  <c:v>1.8171446463103119E-2</c:v>
                </c:pt>
                <c:pt idx="14">
                  <c:v>2.1231775704152116E-2</c:v>
                </c:pt>
                <c:pt idx="15">
                  <c:v>2.4039361333161671E-2</c:v>
                </c:pt>
                <c:pt idx="16">
                  <c:v>2.6375432072090154E-2</c:v>
                </c:pt>
                <c:pt idx="17">
                  <c:v>2.8042507509484674E-2</c:v>
                </c:pt>
                <c:pt idx="18">
                  <c:v>2.8891885214813791E-2</c:v>
                </c:pt>
                <c:pt idx="19">
                  <c:v>2.8845570301209243E-2</c:v>
                </c:pt>
                <c:pt idx="20">
                  <c:v>2.7908187230612308E-2</c:v>
                </c:pt>
                <c:pt idx="21">
                  <c:v>2.6166381376285755E-2</c:v>
                </c:pt>
                <c:pt idx="22">
                  <c:v>2.3775850492133752E-2</c:v>
                </c:pt>
                <c:pt idx="23">
                  <c:v>2.0938736085109984E-2</c:v>
                </c:pt>
                <c:pt idx="24">
                  <c:v>1.7875957781457442E-2</c:v>
                </c:pt>
                <c:pt idx="25">
                  <c:v>1.4799735341794136E-2</c:v>
                </c:pt>
                <c:pt idx="26">
                  <c:v>1.1890932987231298E-2</c:v>
                </c:pt>
                <c:pt idx="27">
                  <c:v>9.2842725173084926E-3</c:v>
                </c:pt>
                <c:pt idx="28">
                  <c:v>7.0624333992459886E-3</c:v>
                </c:pt>
                <c:pt idx="29">
                  <c:v>5.2581746970249308E-3</c:v>
                </c:pt>
                <c:pt idx="30">
                  <c:v>3.8623197799054717E-3</c:v>
                </c:pt>
                <c:pt idx="31">
                  <c:v>2.8349314375555493E-3</c:v>
                </c:pt>
                <c:pt idx="32">
                  <c:v>2.117201356859577E-3</c:v>
                </c:pt>
                <c:pt idx="33">
                  <c:v>1.6422305261096287E-3</c:v>
                </c:pt>
                <c:pt idx="34">
                  <c:v>1.3436743897198662E-3</c:v>
                </c:pt>
                <c:pt idx="35">
                  <c:v>1.161914155665162E-3</c:v>
                </c:pt>
                <c:pt idx="36">
                  <c:v>1.047863805852158E-3</c:v>
                </c:pt>
                <c:pt idx="37">
                  <c:v>9.6473064553701231E-4</c:v>
                </c:pt>
                <c:pt idx="38">
                  <c:v>8.8809921845038316E-4</c:v>
                </c:pt>
                <c:pt idx="39">
                  <c:v>8.0470604696750278E-4</c:v>
                </c:pt>
                <c:pt idx="40">
                  <c:v>7.1028255318201648E-4</c:v>
                </c:pt>
                <c:pt idx="41">
                  <c:v>6.068759524416827E-4</c:v>
                </c:pt>
                <c:pt idx="42">
                  <c:v>5.0008033049366658E-4</c:v>
                </c:pt>
                <c:pt idx="43">
                  <c:v>3.9658045792045384E-4</c:v>
                </c:pt>
                <c:pt idx="44">
                  <c:v>3.023092318353182E-4</c:v>
                </c:pt>
                <c:pt idx="45">
                  <c:v>2.2136172137980842E-4</c:v>
                </c:pt>
                <c:pt idx="46">
                  <c:v>1.5563770063422902E-4</c:v>
                </c:pt>
                <c:pt idx="47">
                  <c:v>1.0504871533911656E-4</c:v>
                </c:pt>
                <c:pt idx="48">
                  <c:v>6.8057182078713844E-5</c:v>
                </c:pt>
                <c:pt idx="49">
                  <c:v>4.2318630729169905E-5</c:v>
                </c:pt>
                <c:pt idx="50">
                  <c:v>2.525482595169435E-5</c:v>
                </c:pt>
              </c:numCache>
            </c:numRef>
          </c:val>
        </c:ser>
        <c:ser>
          <c:idx val="24"/>
          <c:order val="24"/>
          <c:tx>
            <c:strRef>
              <c:f>'Mixture of 2 Gaussian dist.'!$B$174</c:f>
              <c:strCache>
                <c:ptCount val="1"/>
                <c:pt idx="0">
                  <c:v>1.598621466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dist.'!$C$174:$BA$174</c:f>
              <c:numCache>
                <c:formatCode>General</c:formatCode>
                <c:ptCount val="51"/>
                <c:pt idx="0">
                  <c:v>9.3727361910163221E-5</c:v>
                </c:pt>
                <c:pt idx="1">
                  <c:v>1.6577176753087213E-4</c:v>
                </c:pt>
                <c:pt idx="2">
                  <c:v>2.8411509545198137E-4</c:v>
                </c:pt>
                <c:pt idx="3">
                  <c:v>4.7186483790442689E-4</c:v>
                </c:pt>
                <c:pt idx="4">
                  <c:v>7.5941730512428854E-4</c:v>
                </c:pt>
                <c:pt idx="5">
                  <c:v>1.1843578117476294E-3</c:v>
                </c:pt>
                <c:pt idx="6">
                  <c:v>1.7898842026127897E-3</c:v>
                </c:pt>
                <c:pt idx="7">
                  <c:v>2.6212383196733066E-3</c:v>
                </c:pt>
                <c:pt idx="8">
                  <c:v>3.7198690347309011E-3</c:v>
                </c:pt>
                <c:pt idx="9">
                  <c:v>5.1155032299723645E-3</c:v>
                </c:pt>
                <c:pt idx="10">
                  <c:v>6.8169271821966089E-3</c:v>
                </c:pt>
                <c:pt idx="11">
                  <c:v>8.8029561912952841E-3</c:v>
                </c:pt>
                <c:pt idx="12">
                  <c:v>1.1015597386407155E-2</c:v>
                </c:pt>
                <c:pt idx="13">
                  <c:v>1.3357564232796033E-2</c:v>
                </c:pt>
                <c:pt idx="14">
                  <c:v>1.5695904731751795E-2</c:v>
                </c:pt>
                <c:pt idx="15">
                  <c:v>1.787251424996263E-2</c:v>
                </c:pt>
                <c:pt idx="16">
                  <c:v>1.9720862618159331E-2</c:v>
                </c:pt>
                <c:pt idx="17">
                  <c:v>2.1086703098900487E-2</c:v>
                </c:pt>
                <c:pt idx="18">
                  <c:v>2.1849285115489888E-2</c:v>
                </c:pt>
                <c:pt idx="19">
                  <c:v>2.1939072317444224E-2</c:v>
                </c:pt>
                <c:pt idx="20">
                  <c:v>2.1348405702825597E-2</c:v>
                </c:pt>
                <c:pt idx="21">
                  <c:v>2.0132903675602186E-2</c:v>
                </c:pt>
                <c:pt idx="22">
                  <c:v>1.8403326647997029E-2</c:v>
                </c:pt>
                <c:pt idx="23">
                  <c:v>1.6309632803529098E-2</c:v>
                </c:pt>
                <c:pt idx="24">
                  <c:v>1.4020472708912587E-2</c:v>
                </c:pt>
                <c:pt idx="25">
                  <c:v>1.1702029868854056E-2</c:v>
                </c:pt>
                <c:pt idx="26">
                  <c:v>9.4998054256547112E-3</c:v>
                </c:pt>
                <c:pt idx="27">
                  <c:v>7.5258556422248624E-3</c:v>
                </c:pt>
                <c:pt idx="28">
                  <c:v>5.8525156757785034E-3</c:v>
                </c:pt>
                <c:pt idx="29">
                  <c:v>4.5122336867434174E-3</c:v>
                </c:pt>
                <c:pt idx="30">
                  <c:v>3.502148518670803E-3</c:v>
                </c:pt>
                <c:pt idx="31">
                  <c:v>2.7916266404040143E-3</c:v>
                </c:pt>
                <c:pt idx="32">
                  <c:v>2.3310710420317267E-3</c:v>
                </c:pt>
                <c:pt idx="33">
                  <c:v>2.0607194471640947E-3</c:v>
                </c:pt>
                <c:pt idx="34">
                  <c:v>1.9186161751238782E-3</c:v>
                </c:pt>
                <c:pt idx="35">
                  <c:v>1.8472920140301787E-3</c:v>
                </c:pt>
                <c:pt idx="36">
                  <c:v>1.7988636758312945E-3</c:v>
                </c:pt>
                <c:pt idx="37">
                  <c:v>1.7383281198825541E-3</c:v>
                </c:pt>
                <c:pt idx="38">
                  <c:v>1.6448908024152592E-3</c:v>
                </c:pt>
                <c:pt idx="39">
                  <c:v>1.5113205799168854E-3</c:v>
                </c:pt>
                <c:pt idx="40">
                  <c:v>1.3415795733551124E-3</c:v>
                </c:pt>
                <c:pt idx="41">
                  <c:v>1.1472628854290456E-3</c:v>
                </c:pt>
                <c:pt idx="42">
                  <c:v>9.4358862304881467E-4</c:v>
                </c:pt>
                <c:pt idx="43">
                  <c:v>7.4571211276981296E-4</c:v>
                </c:pt>
                <c:pt idx="44">
                  <c:v>5.6597691018776439E-4</c:v>
                </c:pt>
                <c:pt idx="45">
                  <c:v>4.1241470590253781E-4</c:v>
                </c:pt>
                <c:pt idx="46">
                  <c:v>2.8847101526831065E-4</c:v>
                </c:pt>
                <c:pt idx="47">
                  <c:v>1.9366862083503779E-4</c:v>
                </c:pt>
                <c:pt idx="48">
                  <c:v>1.2479004942483277E-4</c:v>
                </c:pt>
                <c:pt idx="49">
                  <c:v>7.7170146557235431E-5</c:v>
                </c:pt>
                <c:pt idx="50">
                  <c:v>4.5799263945855481E-5</c:v>
                </c:pt>
              </c:numCache>
            </c:numRef>
          </c:val>
        </c:ser>
        <c:ser>
          <c:idx val="25"/>
          <c:order val="25"/>
          <c:tx>
            <c:strRef>
              <c:f>'Mixture of 2 Gaussian dist.'!$B$175</c:f>
              <c:strCache>
                <c:ptCount val="1"/>
                <c:pt idx="0">
                  <c:v>1.789808134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dist.'!$C$175:$BA$175</c:f>
              <c:numCache>
                <c:formatCode>General</c:formatCode>
                <c:ptCount val="51"/>
                <c:pt idx="0">
                  <c:v>6.1678312458729478E-5</c:v>
                </c:pt>
                <c:pt idx="1">
                  <c:v>1.0970806563192158E-4</c:v>
                </c:pt>
                <c:pt idx="2">
                  <c:v>1.8909680836084878E-4</c:v>
                </c:pt>
                <c:pt idx="3">
                  <c:v>3.1584165453110144E-4</c:v>
                </c:pt>
                <c:pt idx="4">
                  <c:v>5.1120392506154679E-4</c:v>
                </c:pt>
                <c:pt idx="5">
                  <c:v>8.017860947606213E-4</c:v>
                </c:pt>
                <c:pt idx="6">
                  <c:v>1.2186035191181484E-3</c:v>
                </c:pt>
                <c:pt idx="7">
                  <c:v>1.7947580301693534E-3</c:v>
                </c:pt>
                <c:pt idx="8">
                  <c:v>2.5614681244816874E-3</c:v>
                </c:pt>
                <c:pt idx="9">
                  <c:v>3.542514113759766E-3</c:v>
                </c:pt>
                <c:pt idx="10">
                  <c:v>4.7475967757280727E-3</c:v>
                </c:pt>
                <c:pt idx="11">
                  <c:v>6.1656052088767078E-3</c:v>
                </c:pt>
                <c:pt idx="12">
                  <c:v>7.7592072098212712E-3</c:v>
                </c:pt>
                <c:pt idx="13">
                  <c:v>9.4623488504800065E-3</c:v>
                </c:pt>
                <c:pt idx="14">
                  <c:v>1.1182038840565343E-2</c:v>
                </c:pt>
                <c:pt idx="15">
                  <c:v>1.2805143961897521E-2</c:v>
                </c:pt>
                <c:pt idx="16">
                  <c:v>1.4209913870942328E-2</c:v>
                </c:pt>
                <c:pt idx="17">
                  <c:v>1.5280806237129633E-2</c:v>
                </c:pt>
                <c:pt idx="18">
                  <c:v>1.5924208280531142E-2</c:v>
                </c:pt>
                <c:pt idx="19">
                  <c:v>1.6082158640868482E-2</c:v>
                </c:pt>
                <c:pt idx="20">
                  <c:v>1.574136301474835E-2</c:v>
                </c:pt>
                <c:pt idx="21">
                  <c:v>1.4935672047690475E-2</c:v>
                </c:pt>
                <c:pt idx="22">
                  <c:v>1.3741540166300361E-2</c:v>
                </c:pt>
                <c:pt idx="23">
                  <c:v>1.2267443723910068E-2</c:v>
                </c:pt>
                <c:pt idx="24">
                  <c:v>1.0639404706577297E-2</c:v>
                </c:pt>
                <c:pt idx="25">
                  <c:v>8.9853412447043948E-3</c:v>
                </c:pt>
                <c:pt idx="26">
                  <c:v>7.4208468689878323E-3</c:v>
                </c:pt>
                <c:pt idx="27">
                  <c:v>6.0383091212832044E-3</c:v>
                </c:pt>
                <c:pt idx="28">
                  <c:v>4.9003012176768671E-3</c:v>
                </c:pt>
                <c:pt idx="29">
                  <c:v>4.03725090761212E-3</c:v>
                </c:pt>
                <c:pt idx="30">
                  <c:v>3.448760891721948E-3</c:v>
                </c:pt>
                <c:pt idx="31">
                  <c:v>3.1077122905413504E-3</c:v>
                </c:pt>
                <c:pt idx="32">
                  <c:v>2.9663394856658774E-3</c:v>
                </c:pt>
                <c:pt idx="33">
                  <c:v>2.9636269994204371E-3</c:v>
                </c:pt>
                <c:pt idx="34">
                  <c:v>3.0334566078697917E-3</c:v>
                </c:pt>
                <c:pt idx="35">
                  <c:v>3.1128401252327157E-3</c:v>
                </c:pt>
                <c:pt idx="36">
                  <c:v>3.1493713500050672E-3</c:v>
                </c:pt>
                <c:pt idx="37">
                  <c:v>3.1068885062616727E-3</c:v>
                </c:pt>
                <c:pt idx="38">
                  <c:v>2.9684338138283146E-3</c:v>
                </c:pt>
                <c:pt idx="39">
                  <c:v>2.7360087419510035E-3</c:v>
                </c:pt>
                <c:pt idx="40">
                  <c:v>2.4272756986796398E-3</c:v>
                </c:pt>
                <c:pt idx="41">
                  <c:v>2.0700424602869021E-3</c:v>
                </c:pt>
                <c:pt idx="42">
                  <c:v>1.6958410304937787E-3</c:v>
                </c:pt>
                <c:pt idx="43">
                  <c:v>1.3340105360416449E-3</c:v>
                </c:pt>
                <c:pt idx="44">
                  <c:v>1.0073961996862589E-3</c:v>
                </c:pt>
                <c:pt idx="45">
                  <c:v>7.3021383487708788E-4</c:v>
                </c:pt>
                <c:pt idx="46">
                  <c:v>5.0801294574436299E-4</c:v>
                </c:pt>
                <c:pt idx="47">
                  <c:v>3.3919917014208238E-4</c:v>
                </c:pt>
                <c:pt idx="48">
                  <c:v>2.1735941852364245E-4</c:v>
                </c:pt>
                <c:pt idx="49">
                  <c:v>1.3367153623341138E-4</c:v>
                </c:pt>
                <c:pt idx="50">
                  <c:v>7.889183945405156E-5</c:v>
                </c:pt>
              </c:numCache>
            </c:numRef>
          </c:val>
        </c:ser>
        <c:ser>
          <c:idx val="26"/>
          <c:order val="26"/>
          <c:tx>
            <c:strRef>
              <c:f>'Mixture of 2 Gaussian dist.'!$B$176</c:f>
              <c:strCache>
                <c:ptCount val="1"/>
                <c:pt idx="0">
                  <c:v>1.980994802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dist.'!$C$176:$BA$176</c:f>
              <c:numCache>
                <c:formatCode>General</c:formatCode>
                <c:ptCount val="51"/>
                <c:pt idx="0">
                  <c:v>3.9113969389429022E-5</c:v>
                </c:pt>
                <c:pt idx="1">
                  <c:v>6.996806551416517E-5</c:v>
                </c:pt>
                <c:pt idx="2">
                  <c:v>1.2128508810274823E-4</c:v>
                </c:pt>
                <c:pt idx="3">
                  <c:v>2.0372977982680032E-4</c:v>
                </c:pt>
                <c:pt idx="4">
                  <c:v>3.316203631722841E-4</c:v>
                </c:pt>
                <c:pt idx="5">
                  <c:v>5.2307917886810986E-4</c:v>
                </c:pt>
                <c:pt idx="6">
                  <c:v>7.9952720625579312E-4</c:v>
                </c:pt>
                <c:pt idx="7">
                  <c:v>1.1842370265026656E-3</c:v>
                </c:pt>
                <c:pt idx="8">
                  <c:v>1.6997443781618837E-3</c:v>
                </c:pt>
                <c:pt idx="9">
                  <c:v>2.3641128729557999E-3</c:v>
                </c:pt>
                <c:pt idx="10">
                  <c:v>3.1863426778425104E-3</c:v>
                </c:pt>
                <c:pt idx="11">
                  <c:v>4.161563891035943E-3</c:v>
                </c:pt>
                <c:pt idx="12">
                  <c:v>5.2669689455770753E-3</c:v>
                </c:pt>
                <c:pt idx="13">
                  <c:v>6.459600781298226E-3</c:v>
                </c:pt>
                <c:pt idx="14">
                  <c:v>7.6770196361081317E-3</c:v>
                </c:pt>
                <c:pt idx="15">
                  <c:v>8.8414694563033799E-3</c:v>
                </c:pt>
                <c:pt idx="16">
                  <c:v>9.8674931821911126E-3</c:v>
                </c:pt>
                <c:pt idx="17">
                  <c:v>1.067214292525745E-2</c:v>
                </c:pt>
                <c:pt idx="18">
                  <c:v>1.1186208111206233E-2</c:v>
                </c:pt>
                <c:pt idx="19">
                  <c:v>1.1364465162095057E-2</c:v>
                </c:pt>
                <c:pt idx="20">
                  <c:v>1.1192992485182268E-2</c:v>
                </c:pt>
                <c:pt idx="21">
                  <c:v>1.0692119325168654E-2</c:v>
                </c:pt>
                <c:pt idx="22">
                  <c:v>9.9144581545495165E-3</c:v>
                </c:pt>
                <c:pt idx="23">
                  <c:v>8.9384614349065188E-3</c:v>
                </c:pt>
                <c:pt idx="24">
                  <c:v>7.8587638347939661E-3</c:v>
                </c:pt>
                <c:pt idx="25">
                  <c:v>6.7750059238712969E-3</c:v>
                </c:pt>
                <c:pt idx="26">
                  <c:v>5.7808153639952453E-3</c:v>
                </c:pt>
                <c:pt idx="27">
                  <c:v>4.9542430565917726E-3</c:v>
                </c:pt>
                <c:pt idx="28">
                  <c:v>4.3504289457016818E-3</c:v>
                </c:pt>
                <c:pt idx="29">
                  <c:v>3.9968377895636936E-3</c:v>
                </c:pt>
                <c:pt idx="30">
                  <c:v>3.8912007373398776E-3</c:v>
                </c:pt>
                <c:pt idx="31">
                  <c:v>4.0023069060703756E-3</c:v>
                </c:pt>
                <c:pt idx="32">
                  <c:v>4.2738457430416838E-3</c:v>
                </c:pt>
                <c:pt idx="33">
                  <c:v>4.6313857028791316E-3</c:v>
                </c:pt>
                <c:pt idx="34">
                  <c:v>4.9921454753328485E-3</c:v>
                </c:pt>
                <c:pt idx="35">
                  <c:v>5.276513064167346E-3</c:v>
                </c:pt>
                <c:pt idx="36">
                  <c:v>5.4195388044177353E-3</c:v>
                </c:pt>
                <c:pt idx="37">
                  <c:v>5.3802189946608311E-3</c:v>
                </c:pt>
                <c:pt idx="38">
                  <c:v>5.1465797306684286E-3</c:v>
                </c:pt>
                <c:pt idx="39">
                  <c:v>4.7354240299982689E-3</c:v>
                </c:pt>
                <c:pt idx="40">
                  <c:v>4.1868944033308245E-3</c:v>
                </c:pt>
                <c:pt idx="41">
                  <c:v>3.5552991194553116E-3</c:v>
                </c:pt>
                <c:pt idx="42">
                  <c:v>2.8985047158780579E-3</c:v>
                </c:pt>
                <c:pt idx="43">
                  <c:v>2.2683351583202113E-3</c:v>
                </c:pt>
                <c:pt idx="44">
                  <c:v>1.703847402297319E-3</c:v>
                </c:pt>
                <c:pt idx="45">
                  <c:v>1.2283391231488893E-3</c:v>
                </c:pt>
                <c:pt idx="46">
                  <c:v>8.4987431341409126E-4</c:v>
                </c:pt>
                <c:pt idx="47">
                  <c:v>5.6432714415232462E-4</c:v>
                </c:pt>
                <c:pt idx="48">
                  <c:v>3.5961817775397731E-4</c:v>
                </c:pt>
                <c:pt idx="49">
                  <c:v>2.1992954504356649E-4</c:v>
                </c:pt>
                <c:pt idx="50">
                  <c:v>1.2907876898206235E-4</c:v>
                </c:pt>
              </c:numCache>
            </c:numRef>
          </c:val>
        </c:ser>
        <c:ser>
          <c:idx val="27"/>
          <c:order val="27"/>
          <c:tx>
            <c:strRef>
              <c:f>'Mixture of 2 Gaussian dist.'!$B$177</c:f>
              <c:strCache>
                <c:ptCount val="1"/>
                <c:pt idx="0">
                  <c:v>2.17218147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dist.'!$C$177:$BA$177</c:f>
              <c:numCache>
                <c:formatCode>General</c:formatCode>
                <c:ptCount val="51"/>
                <c:pt idx="0">
                  <c:v>2.3903671941142672E-5</c:v>
                </c:pt>
                <c:pt idx="1">
                  <c:v>4.3002578298678244E-5</c:v>
                </c:pt>
                <c:pt idx="2">
                  <c:v>7.4965930734659521E-5</c:v>
                </c:pt>
                <c:pt idx="3">
                  <c:v>1.2664059623378066E-4</c:v>
                </c:pt>
                <c:pt idx="4">
                  <c:v>2.0731060756749251E-4</c:v>
                </c:pt>
                <c:pt idx="5">
                  <c:v>3.2885895639414337E-4</c:v>
                </c:pt>
                <c:pt idx="6">
                  <c:v>5.0551890724325767E-4</c:v>
                </c:pt>
                <c:pt idx="7">
                  <c:v>7.5301691043883285E-4</c:v>
                </c:pt>
                <c:pt idx="8">
                  <c:v>1.0869553108428247E-3</c:v>
                </c:pt>
                <c:pt idx="9">
                  <c:v>1.5204017653853638E-3</c:v>
                </c:pt>
                <c:pt idx="10">
                  <c:v>2.0608431491594675E-3</c:v>
                </c:pt>
                <c:pt idx="11">
                  <c:v>2.7068974287702899E-3</c:v>
                </c:pt>
                <c:pt idx="12">
                  <c:v>3.4454010362321725E-3</c:v>
                </c:pt>
                <c:pt idx="13">
                  <c:v>4.2496253247428714E-3</c:v>
                </c:pt>
                <c:pt idx="14">
                  <c:v>5.0793492007428689E-3</c:v>
                </c:pt>
                <c:pt idx="15">
                  <c:v>5.8832826029471211E-3</c:v>
                </c:pt>
                <c:pt idx="16">
                  <c:v>6.6039112648302216E-3</c:v>
                </c:pt>
                <c:pt idx="17">
                  <c:v>7.1842995604127083E-3</c:v>
                </c:pt>
                <c:pt idx="18">
                  <c:v>7.5758816266892686E-3</c:v>
                </c:pt>
                <c:pt idx="19">
                  <c:v>7.7459422960148147E-3</c:v>
                </c:pt>
                <c:pt idx="20">
                  <c:v>7.6834506566804918E-3</c:v>
                </c:pt>
                <c:pt idx="21">
                  <c:v>7.4021865504862987E-3</c:v>
                </c:pt>
                <c:pt idx="22">
                  <c:v>6.94061597852533E-3</c:v>
                </c:pt>
                <c:pt idx="23">
                  <c:v>6.3585654967297546E-3</c:v>
                </c:pt>
                <c:pt idx="24">
                  <c:v>5.731236913609751E-3</c:v>
                </c:pt>
                <c:pt idx="25">
                  <c:v>5.1413648388864462E-3</c:v>
                </c:pt>
                <c:pt idx="26">
                  <c:v>4.6703363094258588E-3</c:v>
                </c:pt>
                <c:pt idx="27">
                  <c:v>4.3889714031449256E-3</c:v>
                </c:pt>
                <c:pt idx="28">
                  <c:v>4.3485832720090625E-3</c:v>
                </c:pt>
                <c:pt idx="29">
                  <c:v>4.5730414607666357E-3</c:v>
                </c:pt>
                <c:pt idx="30">
                  <c:v>5.0528662194650378E-3</c:v>
                </c:pt>
                <c:pt idx="31">
                  <c:v>5.7427148698475389E-3</c:v>
                </c:pt>
                <c:pt idx="32">
                  <c:v>6.5636839485519304E-3</c:v>
                </c:pt>
                <c:pt idx="33">
                  <c:v>7.4113573144719376E-3</c:v>
                </c:pt>
                <c:pt idx="34">
                  <c:v>8.1693922798519499E-3</c:v>
                </c:pt>
                <c:pt idx="35">
                  <c:v>8.726882851976113E-3</c:v>
                </c:pt>
                <c:pt idx="36">
                  <c:v>8.9962922742491628E-3</c:v>
                </c:pt>
                <c:pt idx="37">
                  <c:v>8.9280242879539642E-3</c:v>
                </c:pt>
                <c:pt idx="38">
                  <c:v>8.5181332880531098E-3</c:v>
                </c:pt>
                <c:pt idx="39">
                  <c:v>7.8072627690001124E-3</c:v>
                </c:pt>
                <c:pt idx="40">
                  <c:v>6.8711771671375729E-3</c:v>
                </c:pt>
                <c:pt idx="41">
                  <c:v>5.8054407986788568E-3</c:v>
                </c:pt>
                <c:pt idx="42">
                  <c:v>4.7081493948058772E-3</c:v>
                </c:pt>
                <c:pt idx="43">
                  <c:v>3.6647241125850913E-3</c:v>
                </c:pt>
                <c:pt idx="44">
                  <c:v>2.7377138688250099E-3</c:v>
                </c:pt>
                <c:pt idx="45">
                  <c:v>1.96281182004767E-3</c:v>
                </c:pt>
                <c:pt idx="46">
                  <c:v>1.3505357869430417E-3</c:v>
                </c:pt>
                <c:pt idx="47">
                  <c:v>8.9179734549182357E-4</c:v>
                </c:pt>
                <c:pt idx="48">
                  <c:v>5.6514044790444736E-4</c:v>
                </c:pt>
                <c:pt idx="49">
                  <c:v>3.4369659175314605E-4</c:v>
                </c:pt>
                <c:pt idx="50">
                  <c:v>2.005957598571839E-4</c:v>
                </c:pt>
              </c:numCache>
            </c:numRef>
          </c:val>
        </c:ser>
        <c:ser>
          <c:idx val="28"/>
          <c:order val="28"/>
          <c:tx>
            <c:strRef>
              <c:f>'Mixture of 2 Gaussian dist.'!$B$178</c:f>
              <c:strCache>
                <c:ptCount val="1"/>
                <c:pt idx="0">
                  <c:v>2.363368138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dist.'!$C$178:$BA$178</c:f>
              <c:numCache>
                <c:formatCode>General</c:formatCode>
                <c:ptCount val="51"/>
                <c:pt idx="0">
                  <c:v>1.407766634795521E-5</c:v>
                </c:pt>
                <c:pt idx="1">
                  <c:v>2.5469618752084799E-5</c:v>
                </c:pt>
                <c:pt idx="2">
                  <c:v>4.4653323454887739E-5</c:v>
                </c:pt>
                <c:pt idx="3">
                  <c:v>7.5862072209954392E-5</c:v>
                </c:pt>
                <c:pt idx="4">
                  <c:v>1.2489216349352111E-4</c:v>
                </c:pt>
                <c:pt idx="5">
                  <c:v>1.9924400385991367E-4</c:v>
                </c:pt>
                <c:pt idx="6">
                  <c:v>3.0801717875010147E-4</c:v>
                </c:pt>
                <c:pt idx="7">
                  <c:v>4.6142835016529807E-4</c:v>
                </c:pt>
                <c:pt idx="8">
                  <c:v>6.6984354615846106E-4</c:v>
                </c:pt>
                <c:pt idx="9">
                  <c:v>9.4228545993388043E-4</c:v>
                </c:pt>
                <c:pt idx="10">
                  <c:v>1.2844941504723663E-3</c:v>
                </c:pt>
                <c:pt idx="11">
                  <c:v>1.6967716893081404E-3</c:v>
                </c:pt>
                <c:pt idx="12">
                  <c:v>2.171994224963321E-3</c:v>
                </c:pt>
                <c:pt idx="13">
                  <c:v>2.6942804151997178E-3</c:v>
                </c:pt>
                <c:pt idx="14">
                  <c:v>3.2388133113196637E-3</c:v>
                </c:pt>
                <c:pt idx="15">
                  <c:v>3.7731906891052495E-3</c:v>
                </c:pt>
                <c:pt idx="16">
                  <c:v>4.2604286336622652E-3</c:v>
                </c:pt>
                <c:pt idx="17">
                  <c:v>4.6634107938534732E-3</c:v>
                </c:pt>
                <c:pt idx="18">
                  <c:v>4.9502433806777029E-3</c:v>
                </c:pt>
                <c:pt idx="19">
                  <c:v>5.0997374797889282E-3</c:v>
                </c:pt>
                <c:pt idx="20">
                  <c:v>5.1061655748121312E-3</c:v>
                </c:pt>
                <c:pt idx="21">
                  <c:v>4.9825428605701477E-3</c:v>
                </c:pt>
                <c:pt idx="22">
                  <c:v>4.7619134146856673E-3</c:v>
                </c:pt>
                <c:pt idx="23">
                  <c:v>4.496376444552197E-3</c:v>
                </c:pt>
                <c:pt idx="24">
                  <c:v>4.2537696029098272E-3</c:v>
                </c:pt>
                <c:pt idx="25">
                  <c:v>4.1119966212037166E-3</c:v>
                </c:pt>
                <c:pt idx="26">
                  <c:v>4.1510080369254179E-3</c:v>
                </c:pt>
                <c:pt idx="27">
                  <c:v>4.4425695317636769E-3</c:v>
                </c:pt>
                <c:pt idx="28">
                  <c:v>5.0383502518897994E-3</c:v>
                </c:pt>
                <c:pt idx="29">
                  <c:v>5.9575967136243965E-3</c:v>
                </c:pt>
                <c:pt idx="30">
                  <c:v>7.1765775876924259E-3</c:v>
                </c:pt>
                <c:pt idx="31">
                  <c:v>8.6227078247753924E-3</c:v>
                </c:pt>
                <c:pt idx="32">
                  <c:v>1.017628487453622E-2</c:v>
                </c:pt>
                <c:pt idx="33">
                  <c:v>1.1681709917477722E-2</c:v>
                </c:pt>
                <c:pt idx="34">
                  <c:v>1.2967916202225998E-2</c:v>
                </c:pt>
                <c:pt idx="35">
                  <c:v>1.3874995559881498E-2</c:v>
                </c:pt>
                <c:pt idx="36">
                  <c:v>1.4281630417692065E-2</c:v>
                </c:pt>
                <c:pt idx="37">
                  <c:v>1.4126898635293416E-2</c:v>
                </c:pt>
                <c:pt idx="38">
                  <c:v>1.3420931413344606E-2</c:v>
                </c:pt>
                <c:pt idx="39">
                  <c:v>1.2241654944885242E-2</c:v>
                </c:pt>
                <c:pt idx="40">
                  <c:v>1.0718570638719857E-2</c:v>
                </c:pt>
                <c:pt idx="41">
                  <c:v>9.0079458837405302E-3</c:v>
                </c:pt>
                <c:pt idx="42">
                  <c:v>7.2657368019809774E-3</c:v>
                </c:pt>
                <c:pt idx="43">
                  <c:v>5.6244851203922711E-3</c:v>
                </c:pt>
                <c:pt idx="44">
                  <c:v>4.1785523689917984E-3</c:v>
                </c:pt>
                <c:pt idx="45">
                  <c:v>2.9792258314687891E-3</c:v>
                </c:pt>
                <c:pt idx="46">
                  <c:v>2.0385071431362348E-3</c:v>
                </c:pt>
                <c:pt idx="47">
                  <c:v>1.3385984768118798E-3</c:v>
                </c:pt>
                <c:pt idx="48">
                  <c:v>8.4356101727476858E-4</c:v>
                </c:pt>
                <c:pt idx="49">
                  <c:v>5.1016426638066863E-4</c:v>
                </c:pt>
                <c:pt idx="50">
                  <c:v>2.9609459478535194E-4</c:v>
                </c:pt>
              </c:numCache>
            </c:numRef>
          </c:val>
        </c:ser>
        <c:ser>
          <c:idx val="29"/>
          <c:order val="29"/>
          <c:tx>
            <c:strRef>
              <c:f>'Mixture of 2 Gaussian dist.'!$B$179</c:f>
              <c:strCache>
                <c:ptCount val="1"/>
                <c:pt idx="0">
                  <c:v>2.554554805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dist.'!$C$179:$BA$179</c:f>
              <c:numCache>
                <c:formatCode>General</c:formatCode>
                <c:ptCount val="51"/>
                <c:pt idx="0">
                  <c:v>7.9896919765549028E-6</c:v>
                </c:pt>
                <c:pt idx="1">
                  <c:v>1.4537298740148218E-5</c:v>
                </c:pt>
                <c:pt idx="2">
                  <c:v>2.5631673642385779E-5</c:v>
                </c:pt>
                <c:pt idx="3">
                  <c:v>4.3793513646343522E-5</c:v>
                </c:pt>
                <c:pt idx="4">
                  <c:v>7.2507379153338556E-5</c:v>
                </c:pt>
                <c:pt idx="5">
                  <c:v>1.163306740612675E-4</c:v>
                </c:pt>
                <c:pt idx="6">
                  <c:v>1.8086143391381996E-4</c:v>
                </c:pt>
                <c:pt idx="7">
                  <c:v>2.7248181963340963E-4</c:v>
                </c:pt>
                <c:pt idx="8">
                  <c:v>3.9780409507168487E-4</c:v>
                </c:pt>
                <c:pt idx="9">
                  <c:v>5.6278409806311751E-4</c:v>
                </c:pt>
                <c:pt idx="10">
                  <c:v>7.7153691195222659E-4</c:v>
                </c:pt>
                <c:pt idx="11">
                  <c:v>1.0249838636611245E-3</c:v>
                </c:pt>
                <c:pt idx="12">
                  <c:v>1.3195603539613411E-3</c:v>
                </c:pt>
                <c:pt idx="13">
                  <c:v>1.6462916889456278E-3</c:v>
                </c:pt>
                <c:pt idx="14">
                  <c:v>1.9905677718707318E-3</c:v>
                </c:pt>
                <c:pt idx="15">
                  <c:v>2.3328946755836895E-3</c:v>
                </c:pt>
                <c:pt idx="16">
                  <c:v>2.6507692128268563E-3</c:v>
                </c:pt>
                <c:pt idx="17">
                  <c:v>2.9216349424182248E-3</c:v>
                </c:pt>
                <c:pt idx="18">
                  <c:v>3.1266791138823764E-3</c:v>
                </c:pt>
                <c:pt idx="19">
                  <c:v>3.2550694397661712E-3</c:v>
                </c:pt>
                <c:pt idx="20">
                  <c:v>3.3081389214826003E-3</c:v>
                </c:pt>
                <c:pt idx="21">
                  <c:v>3.3030007465709951E-3</c:v>
                </c:pt>
                <c:pt idx="22">
                  <c:v>3.2750687715430151E-3</c:v>
                </c:pt>
                <c:pt idx="23">
                  <c:v>3.2789123648535342E-3</c:v>
                </c:pt>
                <c:pt idx="24">
                  <c:v>3.3867599197184997E-3</c:v>
                </c:pt>
                <c:pt idx="25">
                  <c:v>3.6838398875138467E-3</c:v>
                </c:pt>
                <c:pt idx="26">
                  <c:v>4.2597749875334769E-3</c:v>
                </c:pt>
                <c:pt idx="27">
                  <c:v>5.1956529666954011E-3</c:v>
                </c:pt>
                <c:pt idx="28">
                  <c:v>6.547363874445402E-3</c:v>
                </c:pt>
                <c:pt idx="29">
                  <c:v>8.3272881471782908E-3</c:v>
                </c:pt>
                <c:pt idx="30">
                  <c:v>1.048808109374251E-2</c:v>
                </c:pt>
                <c:pt idx="31">
                  <c:v>1.2913453641289685E-2</c:v>
                </c:pt>
                <c:pt idx="32">
                  <c:v>1.5420722156026342E-2</c:v>
                </c:pt>
                <c:pt idx="33">
                  <c:v>1.777798677506507E-2</c:v>
                </c:pt>
                <c:pt idx="34">
                  <c:v>1.9735231322897312E-2</c:v>
                </c:pt>
                <c:pt idx="35">
                  <c:v>2.106434207000614E-2</c:v>
                </c:pt>
                <c:pt idx="36">
                  <c:v>2.1599509276004739E-2</c:v>
                </c:pt>
                <c:pt idx="37">
                  <c:v>2.1268192942599885E-2</c:v>
                </c:pt>
                <c:pt idx="38">
                  <c:v>2.01045998616486E-2</c:v>
                </c:pt>
                <c:pt idx="39">
                  <c:v>1.8242084533943447E-2</c:v>
                </c:pt>
                <c:pt idx="40">
                  <c:v>1.5886604357647313E-2</c:v>
                </c:pt>
                <c:pt idx="41">
                  <c:v>1.3278351487333364E-2</c:v>
                </c:pt>
                <c:pt idx="42">
                  <c:v>1.0651270512753075E-2</c:v>
                </c:pt>
                <c:pt idx="43">
                  <c:v>8.199655922889482E-3</c:v>
                </c:pt>
                <c:pt idx="44">
                  <c:v>6.0579060311939589E-3</c:v>
                </c:pt>
                <c:pt idx="45">
                  <c:v>4.2951622691145075E-3</c:v>
                </c:pt>
                <c:pt idx="46">
                  <c:v>2.9225720309639354E-3</c:v>
                </c:pt>
                <c:pt idx="47">
                  <c:v>1.9084401433348288E-3</c:v>
                </c:pt>
                <c:pt idx="48">
                  <c:v>1.1959663564068627E-3</c:v>
                </c:pt>
                <c:pt idx="49">
                  <c:v>7.1926036528003018E-4</c:v>
                </c:pt>
                <c:pt idx="50">
                  <c:v>4.1512589281512301E-4</c:v>
                </c:pt>
              </c:numCache>
            </c:numRef>
          </c:val>
        </c:ser>
        <c:ser>
          <c:idx val="30"/>
          <c:order val="30"/>
          <c:tx>
            <c:strRef>
              <c:f>'Mixture of 2 Gaussian dist.'!$B$180</c:f>
              <c:strCache>
                <c:ptCount val="1"/>
                <c:pt idx="0">
                  <c:v>2.745741473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dist.'!$C$180:$BA$180</c:f>
              <c:numCache>
                <c:formatCode>General</c:formatCode>
                <c:ptCount val="51"/>
                <c:pt idx="0">
                  <c:v>4.3698117508091254E-6</c:v>
                </c:pt>
                <c:pt idx="1">
                  <c:v>7.9961017984027586E-6</c:v>
                </c:pt>
                <c:pt idx="2">
                  <c:v>1.4178604262083782E-5</c:v>
                </c:pt>
                <c:pt idx="3">
                  <c:v>2.4362858693217753E-5</c:v>
                </c:pt>
                <c:pt idx="4">
                  <c:v>4.0566043364194842E-5</c:v>
                </c:pt>
                <c:pt idx="5">
                  <c:v>6.5454089204178929E-5</c:v>
                </c:pt>
                <c:pt idx="6">
                  <c:v>1.0234127985989017E-4</c:v>
                </c:pt>
                <c:pt idx="7">
                  <c:v>1.5506195606916024E-4</c:v>
                </c:pt>
                <c:pt idx="8">
                  <c:v>2.2766745166937399E-4</c:v>
                </c:pt>
                <c:pt idx="9">
                  <c:v>3.2392156614583195E-4</c:v>
                </c:pt>
                <c:pt idx="10">
                  <c:v>4.4660761532334139E-4</c:v>
                </c:pt>
                <c:pt idx="11">
                  <c:v>5.967168473392224E-4</c:v>
                </c:pt>
                <c:pt idx="12">
                  <c:v>7.7265222944393691E-4</c:v>
                </c:pt>
                <c:pt idx="13">
                  <c:v>9.6963764242254829E-4</c:v>
                </c:pt>
                <c:pt idx="14">
                  <c:v>1.1795525297737472E-3</c:v>
                </c:pt>
                <c:pt idx="15">
                  <c:v>1.3914023606119402E-3</c:v>
                </c:pt>
                <c:pt idx="16">
                  <c:v>1.592582623399192E-3</c:v>
                </c:pt>
                <c:pt idx="17">
                  <c:v>1.7710081964266416E-3</c:v>
                </c:pt>
                <c:pt idx="18">
                  <c:v>1.9180791408041128E-3</c:v>
                </c:pt>
                <c:pt idx="19">
                  <c:v>2.0323532217843294E-3</c:v>
                </c:pt>
                <c:pt idx="20">
                  <c:v>2.1236913952484256E-3</c:v>
                </c:pt>
                <c:pt idx="21">
                  <c:v>2.2175045828719286E-3</c:v>
                </c:pt>
                <c:pt idx="22">
                  <c:v>2.3585100605685349E-3</c:v>
                </c:pt>
                <c:pt idx="23">
                  <c:v>2.6130727512420518E-3</c:v>
                </c:pt>
                <c:pt idx="24">
                  <c:v>3.0688018838887529E-3</c:v>
                </c:pt>
                <c:pt idx="25">
                  <c:v>3.8297598286332855E-3</c:v>
                </c:pt>
                <c:pt idx="26">
                  <c:v>5.00570492480076E-3</c:v>
                </c:pt>
                <c:pt idx="27">
                  <c:v>6.6945624589669246E-3</c:v>
                </c:pt>
                <c:pt idx="28">
                  <c:v>8.9589915202601886E-3</c:v>
                </c:pt>
                <c:pt idx="29">
                  <c:v>1.1800335142706328E-2</c:v>
                </c:pt>
                <c:pt idx="30">
                  <c:v>1.5135766609832603E-2</c:v>
                </c:pt>
                <c:pt idx="31">
                  <c:v>1.8786025579889655E-2</c:v>
                </c:pt>
                <c:pt idx="32">
                  <c:v>2.2480665261892172E-2</c:v>
                </c:pt>
                <c:pt idx="33">
                  <c:v>2.5884586560044914E-2</c:v>
                </c:pt>
                <c:pt idx="34">
                  <c:v>2.8644185164487281E-2</c:v>
                </c:pt>
                <c:pt idx="35">
                  <c:v>3.0445183061402602E-2</c:v>
                </c:pt>
                <c:pt idx="36">
                  <c:v>3.1069383173117641E-2</c:v>
                </c:pt>
                <c:pt idx="37">
                  <c:v>3.0436250923546789E-2</c:v>
                </c:pt>
                <c:pt idx="38">
                  <c:v>2.8618341263931528E-2</c:v>
                </c:pt>
                <c:pt idx="39">
                  <c:v>2.5826410985929991E-2</c:v>
                </c:pt>
                <c:pt idx="40">
                  <c:v>2.2368326860440095E-2</c:v>
                </c:pt>
                <c:pt idx="41">
                  <c:v>1.8592731515142177E-2</c:v>
                </c:pt>
                <c:pt idx="42">
                  <c:v>1.4831583339669111E-2</c:v>
                </c:pt>
                <c:pt idx="43">
                  <c:v>1.1354371919112255E-2</c:v>
                </c:pt>
                <c:pt idx="44">
                  <c:v>8.3419579977085049E-3</c:v>
                </c:pt>
                <c:pt idx="45">
                  <c:v>5.8816741630100108E-3</c:v>
                </c:pt>
                <c:pt idx="46">
                  <c:v>3.9798002154127236E-3</c:v>
                </c:pt>
                <c:pt idx="47">
                  <c:v>2.5843330311731685E-3</c:v>
                </c:pt>
                <c:pt idx="48">
                  <c:v>1.6105058447091639E-3</c:v>
                </c:pt>
                <c:pt idx="49">
                  <c:v>9.6316918150174315E-4</c:v>
                </c:pt>
                <c:pt idx="50">
                  <c:v>5.5280146786205477E-4</c:v>
                </c:pt>
              </c:numCache>
            </c:numRef>
          </c:val>
        </c:ser>
        <c:ser>
          <c:idx val="31"/>
          <c:order val="31"/>
          <c:tx>
            <c:strRef>
              <c:f>'Mixture of 2 Gaussian dist.'!$B$181</c:f>
              <c:strCache>
                <c:ptCount val="1"/>
                <c:pt idx="0">
                  <c:v>2.936928141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dist.'!$C$181:$BA$181</c:f>
              <c:numCache>
                <c:formatCode>General</c:formatCode>
                <c:ptCount val="51"/>
                <c:pt idx="0">
                  <c:v>2.3031846165256813E-6</c:v>
                </c:pt>
                <c:pt idx="1">
                  <c:v>4.2384421544304251E-6</c:v>
                </c:pt>
                <c:pt idx="2">
                  <c:v>7.5582870059482876E-6</c:v>
                </c:pt>
                <c:pt idx="3">
                  <c:v>1.3061112240549174E-5</c:v>
                </c:pt>
                <c:pt idx="4">
                  <c:v>2.1871407276191868E-5</c:v>
                </c:pt>
                <c:pt idx="5">
                  <c:v>3.5490599908084635E-5</c:v>
                </c:pt>
                <c:pt idx="6">
                  <c:v>5.5807243030271712E-5</c:v>
                </c:pt>
                <c:pt idx="7">
                  <c:v>8.5037332986978275E-5</c:v>
                </c:pt>
                <c:pt idx="8">
                  <c:v>1.2556630611283375E-4</c:v>
                </c:pt>
                <c:pt idx="9">
                  <c:v>1.7967451098318659E-4</c:v>
                </c:pt>
                <c:pt idx="10">
                  <c:v>2.491500656800576E-4</c:v>
                </c:pt>
                <c:pt idx="11">
                  <c:v>3.3482664575412192E-4</c:v>
                </c:pt>
                <c:pt idx="12">
                  <c:v>4.3612493942995914E-4</c:v>
                </c:pt>
                <c:pt idx="13">
                  <c:v>5.5071801073115886E-4</c:v>
                </c:pt>
                <c:pt idx="14">
                  <c:v>6.7447412744501515E-4</c:v>
                </c:pt>
                <c:pt idx="15">
                  <c:v>8.0184908980316782E-4</c:v>
                </c:pt>
                <c:pt idx="16">
                  <c:v>9.2690143151105654E-4</c:v>
                </c:pt>
                <c:pt idx="17">
                  <c:v>1.0450894458159045E-3</c:v>
                </c:pt>
                <c:pt idx="18">
                  <c:v>1.1559780714379632E-3</c:v>
                </c:pt>
                <c:pt idx="19">
                  <c:v>1.266922891526897E-3</c:v>
                </c:pt>
                <c:pt idx="20">
                  <c:v>1.3976718305198062E-3</c:v>
                </c:pt>
                <c:pt idx="21">
                  <c:v>1.585574412815084E-3</c:v>
                </c:pt>
                <c:pt idx="22">
                  <c:v>1.8906562983456165E-3</c:v>
                </c:pt>
                <c:pt idx="23">
                  <c:v>2.3991977410558066E-3</c:v>
                </c:pt>
                <c:pt idx="24">
                  <c:v>3.2237631772655739E-3</c:v>
                </c:pt>
                <c:pt idx="25">
                  <c:v>4.4971500272607242E-3</c:v>
                </c:pt>
                <c:pt idx="26">
                  <c:v>6.3578914195285292E-3</c:v>
                </c:pt>
                <c:pt idx="27">
                  <c:v>8.9262033057841382E-3</c:v>
                </c:pt>
                <c:pt idx="28">
                  <c:v>1.2271811202088081E-2</c:v>
                </c:pt>
                <c:pt idx="29">
                  <c:v>1.6378599955200631E-2</c:v>
                </c:pt>
                <c:pt idx="30">
                  <c:v>2.1114503929648167E-2</c:v>
                </c:pt>
                <c:pt idx="31">
                  <c:v>2.6216987381968239E-2</c:v>
                </c:pt>
                <c:pt idx="32">
                  <c:v>3.1303373325922368E-2</c:v>
                </c:pt>
                <c:pt idx="33">
                  <c:v>3.59104698585926E-2</c:v>
                </c:pt>
                <c:pt idx="34">
                  <c:v>3.9560146504908522E-2</c:v>
                </c:pt>
                <c:pt idx="35">
                  <c:v>4.1838983055745668E-2</c:v>
                </c:pt>
                <c:pt idx="36">
                  <c:v>4.2473961782047008E-2</c:v>
                </c:pt>
                <c:pt idx="37">
                  <c:v>4.1385113943533336E-2</c:v>
                </c:pt>
                <c:pt idx="38">
                  <c:v>3.8701079131305605E-2</c:v>
                </c:pt>
                <c:pt idx="39">
                  <c:v>3.4733351533873233E-2</c:v>
                </c:pt>
                <c:pt idx="40">
                  <c:v>2.9916274884002815E-2</c:v>
                </c:pt>
                <c:pt idx="41">
                  <c:v>2.47286914952419E-2</c:v>
                </c:pt>
                <c:pt idx="42">
                  <c:v>1.9616654343322305E-2</c:v>
                </c:pt>
                <c:pt idx="43">
                  <c:v>1.4934041635905764E-2</c:v>
                </c:pt>
                <c:pt idx="44">
                  <c:v>1.0910821352998359E-2</c:v>
                </c:pt>
                <c:pt idx="45">
                  <c:v>7.6500561863365336E-3</c:v>
                </c:pt>
                <c:pt idx="46">
                  <c:v>5.1475259359062241E-3</c:v>
                </c:pt>
                <c:pt idx="47">
                  <c:v>3.3239844351566584E-3</c:v>
                </c:pt>
                <c:pt idx="48">
                  <c:v>2.0598984072579306E-3</c:v>
                </c:pt>
                <c:pt idx="49">
                  <c:v>1.2250643956185116E-3</c:v>
                </c:pt>
                <c:pt idx="50">
                  <c:v>6.9919493774368521E-4</c:v>
                </c:pt>
              </c:numCache>
            </c:numRef>
          </c:val>
        </c:ser>
        <c:ser>
          <c:idx val="32"/>
          <c:order val="32"/>
          <c:tx>
            <c:strRef>
              <c:f>'Mixture of 2 Gaussian dist.'!$B$182</c:f>
              <c:strCache>
                <c:ptCount val="1"/>
                <c:pt idx="0">
                  <c:v>3.128114809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dist.'!$C$182:$BA$182</c:f>
              <c:numCache>
                <c:formatCode>General</c:formatCode>
                <c:ptCount val="51"/>
                <c:pt idx="0">
                  <c:v>1.1698444793420295E-6</c:v>
                </c:pt>
                <c:pt idx="1">
                  <c:v>2.1650483959441329E-6</c:v>
                </c:pt>
                <c:pt idx="2">
                  <c:v>3.8828157623678771E-6</c:v>
                </c:pt>
                <c:pt idx="3">
                  <c:v>6.7478561446164117E-6</c:v>
                </c:pt>
                <c:pt idx="4">
                  <c:v>1.1363838472846748E-5</c:v>
                </c:pt>
                <c:pt idx="5">
                  <c:v>1.8544932131345682E-5</c:v>
                </c:pt>
                <c:pt idx="6">
                  <c:v>2.9327025723758321E-5</c:v>
                </c:pt>
                <c:pt idx="7">
                  <c:v>4.4942454941084389E-5</c:v>
                </c:pt>
                <c:pt idx="8">
                  <c:v>6.6741927662179959E-5</c:v>
                </c:pt>
                <c:pt idx="9">
                  <c:v>9.605252724807393E-5</c:v>
                </c:pt>
                <c:pt idx="10">
                  <c:v>1.3397309285198965E-4</c:v>
                </c:pt>
                <c:pt idx="11">
                  <c:v>1.8112875194823736E-4</c:v>
                </c:pt>
                <c:pt idx="12">
                  <c:v>2.3743428681783504E-4</c:v>
                </c:pt>
                <c:pt idx="13">
                  <c:v>3.0194950267823251E-4</c:v>
                </c:pt>
                <c:pt idx="14">
                  <c:v>3.7294669432915415E-4</c:v>
                </c:pt>
                <c:pt idx="15">
                  <c:v>4.4834927071550184E-4</c:v>
                </c:pt>
                <c:pt idx="16">
                  <c:v>5.2674052664643842E-4</c:v>
                </c:pt>
                <c:pt idx="17">
                  <c:v>6.0917802253589019E-4</c:v>
                </c:pt>
                <c:pt idx="18">
                  <c:v>7.0206612589422505E-4</c:v>
                </c:pt>
                <c:pt idx="19">
                  <c:v>8.2129880907491973E-4</c:v>
                </c:pt>
                <c:pt idx="20">
                  <c:v>9.9771978615388049E-4</c:v>
                </c:pt>
                <c:pt idx="21">
                  <c:v>1.2835712168233573E-3</c:v>
                </c:pt>
                <c:pt idx="22">
                  <c:v>1.758948325534617E-3</c:v>
                </c:pt>
                <c:pt idx="23">
                  <c:v>2.5363681600322008E-3</c:v>
                </c:pt>
                <c:pt idx="24">
                  <c:v>3.76059376587334E-3</c:v>
                </c:pt>
                <c:pt idx="25">
                  <c:v>5.600252403057426E-3</c:v>
                </c:pt>
                <c:pt idx="26">
                  <c:v>8.2281422056510994E-3</c:v>
                </c:pt>
                <c:pt idx="27">
                  <c:v>1.178899468210259E-2</c:v>
                </c:pt>
                <c:pt idx="28">
                  <c:v>1.6357030001048743E-2</c:v>
                </c:pt>
                <c:pt idx="29">
                  <c:v>2.1890354685264308E-2</c:v>
                </c:pt>
                <c:pt idx="30">
                  <c:v>2.8193678943085918E-2</c:v>
                </c:pt>
                <c:pt idx="31">
                  <c:v>3.4902952770927448E-2</c:v>
                </c:pt>
                <c:pt idx="32">
                  <c:v>4.1503480713863207E-2</c:v>
                </c:pt>
                <c:pt idx="33">
                  <c:v>4.738618650576272E-2</c:v>
                </c:pt>
                <c:pt idx="34">
                  <c:v>5.1936200018847418E-2</c:v>
                </c:pt>
                <c:pt idx="35">
                  <c:v>5.4636993876232366E-2</c:v>
                </c:pt>
                <c:pt idx="36">
                  <c:v>5.51659971543213E-2</c:v>
                </c:pt>
                <c:pt idx="37">
                  <c:v>5.3457282238401974E-2</c:v>
                </c:pt>
                <c:pt idx="38">
                  <c:v>4.9714487958967712E-2</c:v>
                </c:pt>
                <c:pt idx="39">
                  <c:v>4.4370456424115037E-2</c:v>
                </c:pt>
                <c:pt idx="40">
                  <c:v>3.8004602770394524E-2</c:v>
                </c:pt>
                <c:pt idx="41">
                  <c:v>3.1239769561765045E-2</c:v>
                </c:pt>
                <c:pt idx="42">
                  <c:v>2.4643792162705621E-2</c:v>
                </c:pt>
                <c:pt idx="43">
                  <c:v>1.8656690220999878E-2</c:v>
                </c:pt>
                <c:pt idx="44">
                  <c:v>1.3554657764554291E-2</c:v>
                </c:pt>
                <c:pt idx="45">
                  <c:v>9.4508120616846169E-3</c:v>
                </c:pt>
                <c:pt idx="46">
                  <c:v>6.323771043656082E-3</c:v>
                </c:pt>
                <c:pt idx="47">
                  <c:v>4.0607801780239436E-3</c:v>
                </c:pt>
                <c:pt idx="48">
                  <c:v>2.5024711943028373E-3</c:v>
                </c:pt>
                <c:pt idx="49">
                  <c:v>1.4799768214985335E-3</c:v>
                </c:pt>
                <c:pt idx="50">
                  <c:v>8.3997610689696229E-4</c:v>
                </c:pt>
              </c:numCache>
            </c:numRef>
          </c:val>
        </c:ser>
        <c:ser>
          <c:idx val="33"/>
          <c:order val="33"/>
          <c:tx>
            <c:strRef>
              <c:f>'Mixture of 2 Gaussian dist.'!$B$183</c:f>
              <c:strCache>
                <c:ptCount val="1"/>
                <c:pt idx="0">
                  <c:v>3.319301477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dist.'!$C$183:$BA$183</c:f>
              <c:numCache>
                <c:formatCode>General</c:formatCode>
                <c:ptCount val="51"/>
                <c:pt idx="0">
                  <c:v>5.7261265106061651E-7</c:v>
                </c:pt>
                <c:pt idx="1">
                  <c:v>1.0657676317492799E-6</c:v>
                </c:pt>
                <c:pt idx="2">
                  <c:v>1.9222243107755814E-6</c:v>
                </c:pt>
                <c:pt idx="3">
                  <c:v>3.3595879881689971E-6</c:v>
                </c:pt>
                <c:pt idx="4">
                  <c:v>5.6899622948272026E-6</c:v>
                </c:pt>
                <c:pt idx="5">
                  <c:v>9.3384824741209675E-6</c:v>
                </c:pt>
                <c:pt idx="6">
                  <c:v>1.4852217440063399E-5</c:v>
                </c:pt>
                <c:pt idx="7">
                  <c:v>2.2890950541360944E-5</c:v>
                </c:pt>
                <c:pt idx="8">
                  <c:v>3.4191134658170782E-5</c:v>
                </c:pt>
                <c:pt idx="9">
                  <c:v>4.9497196296507922E-5</c:v>
                </c:pt>
                <c:pt idx="10">
                  <c:v>6.9461911480032541E-5</c:v>
                </c:pt>
                <c:pt idx="11">
                  <c:v>9.4531305379216211E-5</c:v>
                </c:pt>
                <c:pt idx="12">
                  <c:v>1.2485088052270935E-4</c:v>
                </c:pt>
                <c:pt idx="13">
                  <c:v>1.6026060097595074E-4</c:v>
                </c:pt>
                <c:pt idx="14">
                  <c:v>2.004881311156736E-4</c:v>
                </c:pt>
                <c:pt idx="15">
                  <c:v>2.4570563116765051E-4</c:v>
                </c:pt>
                <c:pt idx="16">
                  <c:v>2.9768466187370275E-4</c:v>
                </c:pt>
                <c:pt idx="17">
                  <c:v>3.6185703197826415E-4</c:v>
                </c:pt>
                <c:pt idx="18">
                  <c:v>4.5063740244138397E-4</c:v>
                </c:pt>
                <c:pt idx="19">
                  <c:v>5.8832517118727204E-4</c:v>
                </c:pt>
                <c:pt idx="20">
                  <c:v>8.1768240368390718E-4</c:v>
                </c:pt>
                <c:pt idx="21">
                  <c:v>1.207768875752083E-3</c:v>
                </c:pt>
                <c:pt idx="22">
                  <c:v>1.8617312671822669E-3</c:v>
                </c:pt>
                <c:pt idx="23">
                  <c:v>2.9220492653648684E-3</c:v>
                </c:pt>
                <c:pt idx="24">
                  <c:v>4.5695276558656685E-3</c:v>
                </c:pt>
                <c:pt idx="25">
                  <c:v>7.0116602664435142E-3</c:v>
                </c:pt>
                <c:pt idx="26">
                  <c:v>1.0456635496295311E-2</c:v>
                </c:pt>
                <c:pt idx="27">
                  <c:v>1.5071861547837191E-2</c:v>
                </c:pt>
                <c:pt idx="28">
                  <c:v>2.0930580727011129E-2</c:v>
                </c:pt>
                <c:pt idx="29">
                  <c:v>2.7956078363237779E-2</c:v>
                </c:pt>
                <c:pt idx="30">
                  <c:v>3.587826435930614E-2</c:v>
                </c:pt>
                <c:pt idx="31">
                  <c:v>4.4219469687379026E-2</c:v>
                </c:pt>
                <c:pt idx="32">
                  <c:v>5.23229809574468E-2</c:v>
                </c:pt>
                <c:pt idx="33">
                  <c:v>5.9428565936586408E-2</c:v>
                </c:pt>
                <c:pt idx="34">
                  <c:v>6.4785906897454726E-2</c:v>
                </c:pt>
                <c:pt idx="35">
                  <c:v>6.7783626932160487E-2</c:v>
                </c:pt>
                <c:pt idx="36">
                  <c:v>6.8063533083691383E-2</c:v>
                </c:pt>
                <c:pt idx="37">
                  <c:v>6.5590621394213025E-2</c:v>
                </c:pt>
                <c:pt idx="38">
                  <c:v>6.0659940125924336E-2</c:v>
                </c:pt>
                <c:pt idx="39">
                  <c:v>5.3838440741559385E-2</c:v>
                </c:pt>
                <c:pt idx="40">
                  <c:v>4.5857631482916869E-2</c:v>
                </c:pt>
                <c:pt idx="41">
                  <c:v>3.7485080506289382E-2</c:v>
                </c:pt>
                <c:pt idx="42">
                  <c:v>2.9405757446689312E-2</c:v>
                </c:pt>
                <c:pt idx="43">
                  <c:v>2.2137727116211887E-2</c:v>
                </c:pt>
                <c:pt idx="44">
                  <c:v>1.599411463816031E-2</c:v>
                </c:pt>
                <c:pt idx="45">
                  <c:v>1.1089545770576333E-2</c:v>
                </c:pt>
                <c:pt idx="46">
                  <c:v>7.3789336205570613E-3</c:v>
                </c:pt>
                <c:pt idx="47">
                  <c:v>4.7119393043920377E-3</c:v>
                </c:pt>
                <c:pt idx="48">
                  <c:v>2.8875663704729933E-3</c:v>
                </c:pt>
                <c:pt idx="49">
                  <c:v>1.6982062868128344E-3</c:v>
                </c:pt>
                <c:pt idx="50">
                  <c:v>9.5846240003007502E-4</c:v>
                </c:pt>
              </c:numCache>
            </c:numRef>
          </c:val>
        </c:ser>
        <c:ser>
          <c:idx val="34"/>
          <c:order val="34"/>
          <c:tx>
            <c:strRef>
              <c:f>'Mixture of 2 Gaussian dist.'!$B$184</c:f>
              <c:strCache>
                <c:ptCount val="1"/>
                <c:pt idx="0">
                  <c:v>3.510488145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dist.'!$C$184:$BA$184</c:f>
              <c:numCache>
                <c:formatCode>General</c:formatCode>
                <c:ptCount val="51"/>
                <c:pt idx="0">
                  <c:v>2.7010175083891542E-7</c:v>
                </c:pt>
                <c:pt idx="1">
                  <c:v>5.0558188269449756E-7</c:v>
                </c:pt>
                <c:pt idx="2">
                  <c:v>9.1705693187467694E-7</c:v>
                </c:pt>
                <c:pt idx="3">
                  <c:v>1.6119185991337408E-6</c:v>
                </c:pt>
                <c:pt idx="4">
                  <c:v>2.7455840823782194E-6</c:v>
                </c:pt>
                <c:pt idx="5">
                  <c:v>4.5318672600930322E-6</c:v>
                </c:pt>
                <c:pt idx="6">
                  <c:v>7.2490794231604392E-6</c:v>
                </c:pt>
                <c:pt idx="7">
                  <c:v>1.1237702987601429E-5</c:v>
                </c:pt>
                <c:pt idx="8">
                  <c:v>1.6885503359387888E-5</c:v>
                </c:pt>
                <c:pt idx="9">
                  <c:v>2.4597958475115511E-5</c:v>
                </c:pt>
                <c:pt idx="10">
                  <c:v>3.4757332043868027E-5</c:v>
                </c:pt>
                <c:pt idx="11">
                  <c:v>4.7684579151799028E-5</c:v>
                </c:pt>
                <c:pt idx="12">
                  <c:v>6.363736234652491E-5</c:v>
                </c:pt>
                <c:pt idx="13">
                  <c:v>8.2908749706940462E-5</c:v>
                </c:pt>
                <c:pt idx="14">
                  <c:v>1.061397499262986E-4</c:v>
                </c:pt>
                <c:pt idx="15">
                  <c:v>1.3502939970724183E-4</c:v>
                </c:pt>
                <c:pt idx="16">
                  <c:v>1.7371835800903513E-4</c:v>
                </c:pt>
                <c:pt idx="17">
                  <c:v>2.3122144414657768E-4</c:v>
                </c:pt>
                <c:pt idx="18">
                  <c:v>3.2534937395828074E-4</c:v>
                </c:pt>
                <c:pt idx="19">
                  <c:v>4.8850810003132027E-4</c:v>
                </c:pt>
                <c:pt idx="20">
                  <c:v>7.7547320471805094E-4</c:v>
                </c:pt>
                <c:pt idx="21">
                  <c:v>1.2725727673839897E-3</c:v>
                </c:pt>
                <c:pt idx="22">
                  <c:v>2.1066023236995823E-3</c:v>
                </c:pt>
                <c:pt idx="23">
                  <c:v>3.4503417247523792E-3</c:v>
                </c:pt>
                <c:pt idx="24">
                  <c:v>5.5201368882092025E-3</c:v>
                </c:pt>
                <c:pt idx="25">
                  <c:v>8.5603661519355872E-3</c:v>
                </c:pt>
                <c:pt idx="26">
                  <c:v>1.2810634089591929E-2</c:v>
                </c:pt>
                <c:pt idx="27">
                  <c:v>1.8454946400895796E-2</c:v>
                </c:pt>
                <c:pt idx="28">
                  <c:v>2.5557927666124178E-2</c:v>
                </c:pt>
                <c:pt idx="29">
                  <c:v>3.4000185991289011E-2</c:v>
                </c:pt>
                <c:pt idx="30">
                  <c:v>4.3430809458139333E-2</c:v>
                </c:pt>
                <c:pt idx="31">
                  <c:v>5.3256682109644453E-2</c:v>
                </c:pt>
                <c:pt idx="32">
                  <c:v>6.2683446052812397E-2</c:v>
                </c:pt>
                <c:pt idx="33">
                  <c:v>7.0811197012599067E-2</c:v>
                </c:pt>
                <c:pt idx="34">
                  <c:v>7.6772008747495291E-2</c:v>
                </c:pt>
                <c:pt idx="35">
                  <c:v>7.988130736790261E-2</c:v>
                </c:pt>
                <c:pt idx="36">
                  <c:v>7.9766871149063806E-2</c:v>
                </c:pt>
                <c:pt idx="37">
                  <c:v>7.6441900481069094E-2</c:v>
                </c:pt>
                <c:pt idx="38">
                  <c:v>7.0302341234932009E-2</c:v>
                </c:pt>
                <c:pt idx="39">
                  <c:v>6.2049205358469257E-2</c:v>
                </c:pt>
                <c:pt idx="40">
                  <c:v>5.2556933661225561E-2</c:v>
                </c:pt>
                <c:pt idx="41">
                  <c:v>4.2721914896746691E-2</c:v>
                </c:pt>
                <c:pt idx="42">
                  <c:v>3.3327137622803517E-2</c:v>
                </c:pt>
                <c:pt idx="43">
                  <c:v>2.4950069367686213E-2</c:v>
                </c:pt>
                <c:pt idx="44">
                  <c:v>1.7925522743344455E-2</c:v>
                </c:pt>
                <c:pt idx="45">
                  <c:v>1.2359422045693132E-2</c:v>
                </c:pt>
                <c:pt idx="46">
                  <c:v>8.1780679362780193E-3</c:v>
                </c:pt>
                <c:pt idx="47">
                  <c:v>5.1931331257133303E-3</c:v>
                </c:pt>
                <c:pt idx="48">
                  <c:v>3.1647132879988027E-3</c:v>
                </c:pt>
                <c:pt idx="49">
                  <c:v>1.8508253815116404E-3</c:v>
                </c:pt>
                <c:pt idx="50">
                  <c:v>1.0387778403070937E-3</c:v>
                </c:pt>
              </c:numCache>
            </c:numRef>
          </c:val>
        </c:ser>
        <c:ser>
          <c:idx val="35"/>
          <c:order val="35"/>
          <c:tx>
            <c:strRef>
              <c:f>'Mixture of 2 Gaussian dist.'!$B$185</c:f>
              <c:strCache>
                <c:ptCount val="1"/>
                <c:pt idx="0">
                  <c:v>3.701674813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dist.'!$C$185:$BA$185</c:f>
              <c:numCache>
                <c:formatCode>General</c:formatCode>
                <c:ptCount val="51"/>
                <c:pt idx="0">
                  <c:v>1.2278014990718145E-7</c:v>
                </c:pt>
                <c:pt idx="1">
                  <c:v>2.3112980718392269E-7</c:v>
                </c:pt>
                <c:pt idx="2">
                  <c:v>4.2162519533085979E-7</c:v>
                </c:pt>
                <c:pt idx="3">
                  <c:v>7.4532153703084764E-7</c:v>
                </c:pt>
                <c:pt idx="4">
                  <c:v>1.2767772646787272E-6</c:v>
                </c:pt>
                <c:pt idx="5">
                  <c:v>2.119616649229469E-6</c:v>
                </c:pt>
                <c:pt idx="6">
                  <c:v>3.4103896474857965E-6</c:v>
                </c:pt>
                <c:pt idx="7">
                  <c:v>5.3189292925986642E-6</c:v>
                </c:pt>
                <c:pt idx="8">
                  <c:v>8.0437295530010246E-6</c:v>
                </c:pt>
                <c:pt idx="9">
                  <c:v>1.1802719552980965E-5</c:v>
                </c:pt>
                <c:pt idx="10">
                  <c:v>1.682462849552344E-5</c:v>
                </c:pt>
                <c:pt idx="11">
                  <c:v>2.3356284245931142E-5</c:v>
                </c:pt>
                <c:pt idx="12">
                  <c:v>3.1720434043173034E-5</c:v>
                </c:pt>
                <c:pt idx="13">
                  <c:v>4.2492568573768016E-5</c:v>
                </c:pt>
                <c:pt idx="14">
                  <c:v>5.692074271991336E-5</c:v>
                </c:pt>
                <c:pt idx="15">
                  <c:v>7.7795522631994278E-5</c:v>
                </c:pt>
                <c:pt idx="16">
                  <c:v>1.1108679279624391E-4</c:v>
                </c:pt>
                <c:pt idx="17">
                  <c:v>1.687805530969299E-4</c:v>
                </c:pt>
                <c:pt idx="18">
                  <c:v>2.7341843765408907E-4</c:v>
                </c:pt>
                <c:pt idx="19">
                  <c:v>4.6476508081474407E-4</c:v>
                </c:pt>
                <c:pt idx="20">
                  <c:v>8.0865988835303901E-4</c:v>
                </c:pt>
                <c:pt idx="21">
                  <c:v>1.4073022034777948E-3</c:v>
                </c:pt>
                <c:pt idx="22">
                  <c:v>2.4089089919592421E-3</c:v>
                </c:pt>
                <c:pt idx="23">
                  <c:v>4.0130240425088537E-3</c:v>
                </c:pt>
                <c:pt idx="24">
                  <c:v>6.4662367637104588E-3</c:v>
                </c:pt>
                <c:pt idx="25">
                  <c:v>1.0042533172706404E-2</c:v>
                </c:pt>
                <c:pt idx="26">
                  <c:v>1.5003964775746861E-2</c:v>
                </c:pt>
                <c:pt idx="27">
                  <c:v>2.1541518095324813E-2</c:v>
                </c:pt>
                <c:pt idx="28">
                  <c:v>2.9702855623036883E-2</c:v>
                </c:pt>
                <c:pt idx="29">
                  <c:v>3.9321479374535263E-2</c:v>
                </c:pt>
                <c:pt idx="30">
                  <c:v>4.9968010569375949E-2</c:v>
                </c:pt>
                <c:pt idx="31">
                  <c:v>6.0945313081869325E-2</c:v>
                </c:pt>
                <c:pt idx="32">
                  <c:v>7.1342672289147951E-2</c:v>
                </c:pt>
                <c:pt idx="33">
                  <c:v>8.0150237527271476E-2</c:v>
                </c:pt>
                <c:pt idx="34">
                  <c:v>8.6416827465466653E-2</c:v>
                </c:pt>
                <c:pt idx="35">
                  <c:v>8.9418020267743134E-2</c:v>
                </c:pt>
                <c:pt idx="36">
                  <c:v>8.8793703856810624E-2</c:v>
                </c:pt>
                <c:pt idx="37">
                  <c:v>8.4619022717611639E-2</c:v>
                </c:pt>
                <c:pt idx="38">
                  <c:v>7.7389412155670231E-2</c:v>
                </c:pt>
                <c:pt idx="39">
                  <c:v>6.7923834720517801E-2</c:v>
                </c:pt>
                <c:pt idx="40">
                  <c:v>5.721232344238366E-2</c:v>
                </c:pt>
                <c:pt idx="41">
                  <c:v>4.6246991881719587E-2</c:v>
                </c:pt>
                <c:pt idx="42">
                  <c:v>3.5875979797206053E-2</c:v>
                </c:pt>
                <c:pt idx="43">
                  <c:v>2.6708551959850731E-2</c:v>
                </c:pt>
                <c:pt idx="44">
                  <c:v>1.9081967476346627E-2</c:v>
                </c:pt>
                <c:pt idx="45">
                  <c:v>1.3083446471299491E-2</c:v>
                </c:pt>
                <c:pt idx="46">
                  <c:v>8.6088938457252306E-3</c:v>
                </c:pt>
                <c:pt idx="47">
                  <c:v>5.4362410972376768E-3</c:v>
                </c:pt>
                <c:pt idx="48">
                  <c:v>3.2943991941851171E-3</c:v>
                </c:pt>
                <c:pt idx="49">
                  <c:v>1.9159311016127593E-3</c:v>
                </c:pt>
                <c:pt idx="50">
                  <c:v>1.0693249465161228E-3</c:v>
                </c:pt>
              </c:numCache>
            </c:numRef>
          </c:val>
        </c:ser>
        <c:ser>
          <c:idx val="36"/>
          <c:order val="36"/>
          <c:tx>
            <c:strRef>
              <c:f>'Mixture of 2 Gaussian dist.'!$B$186</c:f>
              <c:strCache>
                <c:ptCount val="1"/>
                <c:pt idx="0">
                  <c:v>3.892861481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dist.'!$C$186:$BA$186</c:f>
              <c:numCache>
                <c:formatCode>General</c:formatCode>
                <c:ptCount val="51"/>
                <c:pt idx="0">
                  <c:v>5.3785484967395446E-8</c:v>
                </c:pt>
                <c:pt idx="1">
                  <c:v>1.0182629335476868E-7</c:v>
                </c:pt>
                <c:pt idx="2">
                  <c:v>1.8681145568545276E-7</c:v>
                </c:pt>
                <c:pt idx="3">
                  <c:v>3.3212845915002056E-7</c:v>
                </c:pt>
                <c:pt idx="4">
                  <c:v>5.7225439920192861E-7</c:v>
                </c:pt>
                <c:pt idx="5">
                  <c:v>9.5564561496827373E-7</c:v>
                </c:pt>
                <c:pt idx="6">
                  <c:v>1.5471038487977754E-6</c:v>
                </c:pt>
                <c:pt idx="7">
                  <c:v>2.4290626716891824E-6</c:v>
                </c:pt>
                <c:pt idx="8">
                  <c:v>3.7018288787183638E-6</c:v>
                </c:pt>
                <c:pt idx="9">
                  <c:v>5.4847972106514363E-6</c:v>
                </c:pt>
                <c:pt idx="10">
                  <c:v>7.9255333426626481E-6</c:v>
                </c:pt>
                <c:pt idx="11">
                  <c:v>1.123406317284677E-5</c:v>
                </c:pt>
                <c:pt idx="12">
                  <c:v>1.5780143695577807E-5</c:v>
                </c:pt>
                <c:pt idx="13">
                  <c:v>2.232827805114753E-5</c:v>
                </c:pt>
                <c:pt idx="14">
                  <c:v>3.2546816098165462E-5</c:v>
                </c:pt>
                <c:pt idx="15">
                  <c:v>5.0020054773316009E-5</c:v>
                </c:pt>
                <c:pt idx="16">
                  <c:v>8.211310124783804E-5</c:v>
                </c:pt>
                <c:pt idx="17">
                  <c:v>1.4316354193838699E-4</c:v>
                </c:pt>
                <c:pt idx="18">
                  <c:v>2.595380532902288E-4</c:v>
                </c:pt>
                <c:pt idx="19">
                  <c:v>4.7698129783113282E-4</c:v>
                </c:pt>
                <c:pt idx="20">
                  <c:v>8.7024086266062847E-4</c:v>
                </c:pt>
                <c:pt idx="21">
                  <c:v>1.5540229616329189E-3</c:v>
                </c:pt>
                <c:pt idx="22">
                  <c:v>2.6928739353443152E-3</c:v>
                </c:pt>
                <c:pt idx="23">
                  <c:v>4.505796352196419E-3</c:v>
                </c:pt>
                <c:pt idx="24">
                  <c:v>7.259870603544512E-3</c:v>
                </c:pt>
                <c:pt idx="25">
                  <c:v>1.124680506546453E-2</c:v>
                </c:pt>
                <c:pt idx="26">
                  <c:v>1.6738250409840408E-2</c:v>
                </c:pt>
                <c:pt idx="27">
                  <c:v>2.3920579674482783E-2</c:v>
                </c:pt>
                <c:pt idx="28">
                  <c:v>3.2817330087315827E-2</c:v>
                </c:pt>
                <c:pt idx="29">
                  <c:v>4.3215823741679711E-2</c:v>
                </c:pt>
                <c:pt idx="30">
                  <c:v>5.4620479531938888E-2</c:v>
                </c:pt>
                <c:pt idx="31">
                  <c:v>6.625545050111023E-2</c:v>
                </c:pt>
                <c:pt idx="32">
                  <c:v>7.7131146375436527E-2</c:v>
                </c:pt>
                <c:pt idx="33">
                  <c:v>8.6173453842311537E-2</c:v>
                </c:pt>
                <c:pt idx="34">
                  <c:v>9.2395101684128636E-2</c:v>
                </c:pt>
                <c:pt idx="35">
                  <c:v>9.5072276909886913E-2</c:v>
                </c:pt>
                <c:pt idx="36">
                  <c:v>9.3883012700186619E-2</c:v>
                </c:pt>
                <c:pt idx="37">
                  <c:v>8.8970805824285543E-2</c:v>
                </c:pt>
                <c:pt idx="38">
                  <c:v>8.0916099034414393E-2</c:v>
                </c:pt>
                <c:pt idx="39">
                  <c:v>7.0623456148653965E-2</c:v>
                </c:pt>
                <c:pt idx="40">
                  <c:v>5.9154724449295704E-2</c:v>
                </c:pt>
                <c:pt idx="41">
                  <c:v>4.7550625364645792E-2</c:v>
                </c:pt>
                <c:pt idx="42">
                  <c:v>3.6681686110712541E-2</c:v>
                </c:pt>
                <c:pt idx="43">
                  <c:v>2.7156172852553652E-2</c:v>
                </c:pt>
                <c:pt idx="44">
                  <c:v>1.9293633652700117E-2</c:v>
                </c:pt>
                <c:pt idx="45">
                  <c:v>1.315484282033421E-2</c:v>
                </c:pt>
                <c:pt idx="46">
                  <c:v>8.6076273997764182E-3</c:v>
                </c:pt>
                <c:pt idx="47">
                  <c:v>5.405145741944054E-3</c:v>
                </c:pt>
                <c:pt idx="48">
                  <c:v>3.2572981019075319E-3</c:v>
                </c:pt>
                <c:pt idx="49">
                  <c:v>1.8837954737367765E-3</c:v>
                </c:pt>
                <c:pt idx="50">
                  <c:v>1.0455291242098344E-3</c:v>
                </c:pt>
              </c:numCache>
            </c:numRef>
          </c:val>
        </c:ser>
        <c:ser>
          <c:idx val="37"/>
          <c:order val="37"/>
          <c:tx>
            <c:strRef>
              <c:f>'Mixture of 2 Gaussian dist.'!$B$187</c:f>
              <c:strCache>
                <c:ptCount val="1"/>
                <c:pt idx="0">
                  <c:v>4.084048149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dist.'!$C$187:$BA$187</c:f>
              <c:numCache>
                <c:formatCode>General</c:formatCode>
                <c:ptCount val="51"/>
                <c:pt idx="0">
                  <c:v>2.2706150110239012E-8</c:v>
                </c:pt>
                <c:pt idx="1">
                  <c:v>4.3232943526897512E-8</c:v>
                </c:pt>
                <c:pt idx="2">
                  <c:v>7.9772134298178961E-8</c:v>
                </c:pt>
                <c:pt idx="3">
                  <c:v>1.4265296209105625E-7</c:v>
                </c:pt>
                <c:pt idx="4">
                  <c:v>2.4726424598006948E-7</c:v>
                </c:pt>
                <c:pt idx="5">
                  <c:v>4.1553764794405085E-7</c:v>
                </c:pt>
                <c:pt idx="6">
                  <c:v>6.7742995628405144E-7</c:v>
                </c:pt>
                <c:pt idx="7">
                  <c:v>1.0724875229734945E-6</c:v>
                </c:pt>
                <c:pt idx="8">
                  <c:v>1.6523702729976526E-6</c:v>
                </c:pt>
                <c:pt idx="9">
                  <c:v>2.4873981176574512E-6</c:v>
                </c:pt>
                <c:pt idx="10">
                  <c:v>3.6853350926695761E-6</c:v>
                </c:pt>
                <c:pt idx="11">
                  <c:v>5.4416334656793766E-6</c:v>
                </c:pt>
                <c:pt idx="12">
                  <c:v>8.1620401862647103E-6</c:v>
                </c:pt>
                <c:pt idx="13">
                  <c:v>1.2737887196444233E-5</c:v>
                </c:pt>
                <c:pt idx="14">
                  <c:v>2.1119949648328845E-5</c:v>
                </c:pt>
                <c:pt idx="15">
                  <c:v>3.743450197726193E-5</c:v>
                </c:pt>
                <c:pt idx="16">
                  <c:v>7.0010432239247801E-5</c:v>
                </c:pt>
                <c:pt idx="17">
                  <c:v>1.3480961531285048E-4</c:v>
                </c:pt>
                <c:pt idx="18">
                  <c:v>2.6080324037881287E-4</c:v>
                </c:pt>
                <c:pt idx="19">
                  <c:v>4.976911657947864E-4</c:v>
                </c:pt>
                <c:pt idx="20">
                  <c:v>9.2585645079082401E-4</c:v>
                </c:pt>
                <c:pt idx="21">
                  <c:v>1.6674359369897665E-3</c:v>
                </c:pt>
                <c:pt idx="22">
                  <c:v>2.8958496622003564E-3</c:v>
                </c:pt>
                <c:pt idx="23">
                  <c:v>4.8393182888331497E-3</c:v>
                </c:pt>
                <c:pt idx="24">
                  <c:v>7.7724439997371849E-3</c:v>
                </c:pt>
                <c:pt idx="25">
                  <c:v>1.1989825471201417E-2</c:v>
                </c:pt>
                <c:pt idx="26">
                  <c:v>1.7757985835049006E-2</c:v>
                </c:pt>
                <c:pt idx="27">
                  <c:v>2.524721230736653E-2</c:v>
                </c:pt>
                <c:pt idx="28">
                  <c:v>3.4452725074636495E-2</c:v>
                </c:pt>
                <c:pt idx="29">
                  <c:v>4.5122882643996151E-2</c:v>
                </c:pt>
                <c:pt idx="30">
                  <c:v>5.6717579527507764E-2</c:v>
                </c:pt>
                <c:pt idx="31">
                  <c:v>6.8419081924480096E-2</c:v>
                </c:pt>
                <c:pt idx="32">
                  <c:v>7.920823877897154E-2</c:v>
                </c:pt>
                <c:pt idx="33">
                  <c:v>8.8002302277206457E-2</c:v>
                </c:pt>
                <c:pt idx="34">
                  <c:v>9.3831035966573842E-2</c:v>
                </c:pt>
                <c:pt idx="35">
                  <c:v>9.6012270949792158E-2</c:v>
                </c:pt>
                <c:pt idx="36">
                  <c:v>9.4283153553273505E-2</c:v>
                </c:pt>
                <c:pt idx="37">
                  <c:v>8.8852204575574537E-2</c:v>
                </c:pt>
                <c:pt idx="38">
                  <c:v>8.0357947367550378E-2</c:v>
                </c:pt>
                <c:pt idx="39">
                  <c:v>6.9745443398255599E-2</c:v>
                </c:pt>
                <c:pt idx="40">
                  <c:v>5.8093712992025981E-2</c:v>
                </c:pt>
                <c:pt idx="41">
                  <c:v>4.6437482310208812E-2</c:v>
                </c:pt>
                <c:pt idx="42">
                  <c:v>3.5623320463063025E-2</c:v>
                </c:pt>
                <c:pt idx="43">
                  <c:v>2.6225652914147621E-2</c:v>
                </c:pt>
                <c:pt idx="44">
                  <c:v>1.8528675949507127E-2</c:v>
                </c:pt>
                <c:pt idx="45">
                  <c:v>1.2562862861151065E-2</c:v>
                </c:pt>
                <c:pt idx="46">
                  <c:v>8.1744586685490884E-3</c:v>
                </c:pt>
                <c:pt idx="47">
                  <c:v>5.1045273151976382E-3</c:v>
                </c:pt>
                <c:pt idx="48">
                  <c:v>3.0589910469454792E-3</c:v>
                </c:pt>
                <c:pt idx="49">
                  <c:v>1.759247821264304E-3</c:v>
                </c:pt>
                <c:pt idx="50">
                  <c:v>9.7096143068973215E-4</c:v>
                </c:pt>
              </c:numCache>
            </c:numRef>
          </c:val>
        </c:ser>
        <c:ser>
          <c:idx val="38"/>
          <c:order val="38"/>
          <c:tx>
            <c:strRef>
              <c:f>'Mixture of 2 Gaussian dist.'!$B$188</c:f>
              <c:strCache>
                <c:ptCount val="1"/>
                <c:pt idx="0">
                  <c:v>4.275234817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dist.'!$C$188:$BA$188</c:f>
              <c:numCache>
                <c:formatCode>General</c:formatCode>
                <c:ptCount val="51"/>
                <c:pt idx="0">
                  <c:v>9.2380071512714704E-9</c:v>
                </c:pt>
                <c:pt idx="1">
                  <c:v>1.7690985654883865E-8</c:v>
                </c:pt>
                <c:pt idx="2">
                  <c:v>3.2834883998253351E-8</c:v>
                </c:pt>
                <c:pt idx="3">
                  <c:v>5.9075036881674593E-8</c:v>
                </c:pt>
                <c:pt idx="4">
                  <c:v>1.0306485149084927E-7</c:v>
                </c:pt>
                <c:pt idx="5">
                  <c:v>1.7448659636918043E-7</c:v>
                </c:pt>
                <c:pt idx="6">
                  <c:v>2.870546709118997E-7</c:v>
                </c:pt>
                <c:pt idx="7">
                  <c:v>4.6014212443398354E-7</c:v>
                </c:pt>
                <c:pt idx="8">
                  <c:v>7.2235604198900875E-7</c:v>
                </c:pt>
                <c:pt idx="9">
                  <c:v>1.1207292459017032E-6</c:v>
                </c:pt>
                <c:pt idx="10">
                  <c:v>1.7445713568841847E-6</c:v>
                </c:pt>
                <c:pt idx="11">
                  <c:v>2.7844064139479436E-6</c:v>
                </c:pt>
                <c:pt idx="12">
                  <c:v>4.6687520767783245E-6</c:v>
                </c:pt>
                <c:pt idx="13">
                  <c:v>8.3618802011331748E-6</c:v>
                </c:pt>
                <c:pt idx="14">
                  <c:v>1.5972291397353061E-5</c:v>
                </c:pt>
                <c:pt idx="15">
                  <c:v>3.1919542254278687E-5</c:v>
                </c:pt>
                <c:pt idx="16">
                  <c:v>6.5029548567284456E-5</c:v>
                </c:pt>
                <c:pt idx="17">
                  <c:v>1.3204291960529547E-4</c:v>
                </c:pt>
                <c:pt idx="18">
                  <c:v>2.6305260404811047E-4</c:v>
                </c:pt>
                <c:pt idx="19">
                  <c:v>5.0921108582866652E-4</c:v>
                </c:pt>
                <c:pt idx="20">
                  <c:v>9.5250459536240408E-4</c:v>
                </c:pt>
                <c:pt idx="21">
                  <c:v>1.7163501803549664E-3</c:v>
                </c:pt>
                <c:pt idx="22">
                  <c:v>2.9742383045943364E-3</c:v>
                </c:pt>
                <c:pt idx="23">
                  <c:v>4.9519055613201782E-3</c:v>
                </c:pt>
                <c:pt idx="24">
                  <c:v>7.9172409932763369E-3</c:v>
                </c:pt>
                <c:pt idx="25">
                  <c:v>1.2152285945492685E-2</c:v>
                </c:pt>
                <c:pt idx="26">
                  <c:v>1.7904276951188264E-2</c:v>
                </c:pt>
                <c:pt idx="27">
                  <c:v>2.5318168555537375E-2</c:v>
                </c:pt>
                <c:pt idx="28">
                  <c:v>3.4360782249117941E-2</c:v>
                </c:pt>
                <c:pt idx="29">
                  <c:v>4.4754515198036034E-2</c:v>
                </c:pt>
                <c:pt idx="30">
                  <c:v>5.5943126193670416E-2</c:v>
                </c:pt>
                <c:pt idx="31">
                  <c:v>6.7110212679723669E-2</c:v>
                </c:pt>
                <c:pt idx="32">
                  <c:v>7.726096731575785E-2</c:v>
                </c:pt>
                <c:pt idx="33">
                  <c:v>8.5361083034011007E-2</c:v>
                </c:pt>
                <c:pt idx="34">
                  <c:v>9.0508030251550284E-2</c:v>
                </c:pt>
                <c:pt idx="35">
                  <c:v>9.209609907887191E-2</c:v>
                </c:pt>
                <c:pt idx="36">
                  <c:v>8.9933600769009858E-2</c:v>
                </c:pt>
                <c:pt idx="37">
                  <c:v>8.4280901288413895E-2</c:v>
                </c:pt>
                <c:pt idx="38">
                  <c:v>7.5798862824510232E-2</c:v>
                </c:pt>
                <c:pt idx="39">
                  <c:v>6.5421796991128364E-2</c:v>
                </c:pt>
                <c:pt idx="40">
                  <c:v>5.4188666558393425E-2</c:v>
                </c:pt>
                <c:pt idx="41">
                  <c:v>4.3074540009149904E-2</c:v>
                </c:pt>
                <c:pt idx="42">
                  <c:v>3.2859352678037558E-2</c:v>
                </c:pt>
                <c:pt idx="43">
                  <c:v>2.4056005760174335E-2</c:v>
                </c:pt>
                <c:pt idx="44">
                  <c:v>1.6901069485949185E-2</c:v>
                </c:pt>
                <c:pt idx="45">
                  <c:v>1.1395437500824706E-2</c:v>
                </c:pt>
                <c:pt idx="46">
                  <c:v>7.3735047565736582E-3</c:v>
                </c:pt>
                <c:pt idx="47">
                  <c:v>4.5787092742705492E-3</c:v>
                </c:pt>
                <c:pt idx="48">
                  <c:v>2.7285901962465788E-3</c:v>
                </c:pt>
                <c:pt idx="49">
                  <c:v>1.5604853669122663E-3</c:v>
                </c:pt>
                <c:pt idx="50">
                  <c:v>8.5646028013988532E-4</c:v>
                </c:pt>
              </c:numCache>
            </c:numRef>
          </c:val>
        </c:ser>
        <c:ser>
          <c:idx val="39"/>
          <c:order val="39"/>
          <c:tx>
            <c:strRef>
              <c:f>'Mixture of 2 Gaussian dist.'!$B$189</c:f>
              <c:strCache>
                <c:ptCount val="1"/>
                <c:pt idx="0">
                  <c:v>4.466421485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dist.'!$C$189:$BA$189</c:f>
              <c:numCache>
                <c:formatCode>General</c:formatCode>
                <c:ptCount val="51"/>
                <c:pt idx="0">
                  <c:v>3.6225176966532745E-9</c:v>
                </c:pt>
                <c:pt idx="1">
                  <c:v>6.9784237976642131E-9</c:v>
                </c:pt>
                <c:pt idx="2">
                  <c:v>1.3032671432793856E-8</c:v>
                </c:pt>
                <c:pt idx="3">
                  <c:v>2.3606823023699486E-8</c:v>
                </c:pt>
                <c:pt idx="4">
                  <c:v>4.1511356676638269E-8</c:v>
                </c:pt>
                <c:pt idx="5">
                  <c:v>7.0990938050401746E-8</c:v>
                </c:pt>
                <c:pt idx="6">
                  <c:v>1.1848065345403972E-7</c:v>
                </c:pt>
                <c:pt idx="7">
                  <c:v>1.942176151333974E-7</c:v>
                </c:pt>
                <c:pt idx="8">
                  <c:v>3.1623609125538698E-7</c:v>
                </c:pt>
                <c:pt idx="9">
                  <c:v>5.2067030579849945E-7</c:v>
                </c:pt>
                <c:pt idx="10">
                  <c:v>8.8769265165790321E-7</c:v>
                </c:pt>
                <c:pt idx="11">
                  <c:v>1.6037437751402846E-6</c:v>
                </c:pt>
                <c:pt idx="12">
                  <c:v>3.1027455571276758E-6</c:v>
                </c:pt>
                <c:pt idx="13">
                  <c:v>6.3684724964306522E-6</c:v>
                </c:pt>
                <c:pt idx="14">
                  <c:v>1.3544588787814559E-5</c:v>
                </c:pt>
                <c:pt idx="15">
                  <c:v>2.9091859608546274E-5</c:v>
                </c:pt>
                <c:pt idx="16">
                  <c:v>6.1845257103098158E-5</c:v>
                </c:pt>
                <c:pt idx="17">
                  <c:v>1.2842299161973676E-4</c:v>
                </c:pt>
                <c:pt idx="18">
                  <c:v>2.5845069875811156E-4</c:v>
                </c:pt>
                <c:pt idx="19">
                  <c:v>5.0186718983058487E-4</c:v>
                </c:pt>
                <c:pt idx="20">
                  <c:v>9.3802729084048139E-4</c:v>
                </c:pt>
                <c:pt idx="21">
                  <c:v>1.685302070230486E-3</c:v>
                </c:pt>
                <c:pt idx="22">
                  <c:v>2.9084309032669487E-3</c:v>
                </c:pt>
                <c:pt idx="23">
                  <c:v>4.8193080365783354E-3</c:v>
                </c:pt>
                <c:pt idx="24">
                  <c:v>7.6658390134938456E-3</c:v>
                </c:pt>
                <c:pt idx="25">
                  <c:v>1.1703897352179979E-2</c:v>
                </c:pt>
                <c:pt idx="26">
                  <c:v>1.7150124418252928E-2</c:v>
                </c:pt>
                <c:pt idx="27">
                  <c:v>2.4118658731839923E-2</c:v>
                </c:pt>
                <c:pt idx="28">
                  <c:v>3.255206429243522E-2</c:v>
                </c:pt>
                <c:pt idx="29">
                  <c:v>4.2163621276476985E-2</c:v>
                </c:pt>
                <c:pt idx="30">
                  <c:v>5.2411677680994445E-2</c:v>
                </c:pt>
                <c:pt idx="31">
                  <c:v>6.2524055205077061E-2</c:v>
                </c:pt>
                <c:pt idx="32">
                  <c:v>7.1580384944334108E-2</c:v>
                </c:pt>
                <c:pt idx="33">
                  <c:v>7.8644450162316151E-2</c:v>
                </c:pt>
                <c:pt idx="34">
                  <c:v>8.2921833534837508E-2</c:v>
                </c:pt>
                <c:pt idx="35">
                  <c:v>8.3906622408026765E-2</c:v>
                </c:pt>
                <c:pt idx="36">
                  <c:v>8.1479801676966931E-2</c:v>
                </c:pt>
                <c:pt idx="37">
                  <c:v>7.5932898625585013E-2</c:v>
                </c:pt>
                <c:pt idx="38">
                  <c:v>6.7910390859436454E-2</c:v>
                </c:pt>
                <c:pt idx="39">
                  <c:v>5.8286594596622013E-2</c:v>
                </c:pt>
                <c:pt idx="40">
                  <c:v>4.8009514431145678E-2</c:v>
                </c:pt>
                <c:pt idx="41">
                  <c:v>3.7950028782034011E-2</c:v>
                </c:pt>
                <c:pt idx="42">
                  <c:v>2.8788766785652488E-2</c:v>
                </c:pt>
                <c:pt idx="43">
                  <c:v>2.0958498386587469E-2</c:v>
                </c:pt>
                <c:pt idx="44">
                  <c:v>1.4642775763372751E-2</c:v>
                </c:pt>
                <c:pt idx="45">
                  <c:v>9.8177688678750905E-3</c:v>
                </c:pt>
                <c:pt idx="46">
                  <c:v>6.3172539780815412E-3</c:v>
                </c:pt>
                <c:pt idx="47">
                  <c:v>3.9009466640372694E-3</c:v>
                </c:pt>
                <c:pt idx="48">
                  <c:v>2.3117338243523349E-3</c:v>
                </c:pt>
                <c:pt idx="49">
                  <c:v>1.3147154970850757E-3</c:v>
                </c:pt>
                <c:pt idx="50">
                  <c:v>7.175495165673006E-4</c:v>
                </c:pt>
              </c:numCache>
            </c:numRef>
          </c:val>
        </c:ser>
        <c:ser>
          <c:idx val="40"/>
          <c:order val="40"/>
          <c:tx>
            <c:strRef>
              <c:f>'Mixture of 2 Gaussian dist.'!$B$190</c:f>
              <c:strCache>
                <c:ptCount val="1"/>
                <c:pt idx="0">
                  <c:v>4.657608153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dist.'!$C$190:$BA$190</c:f>
              <c:numCache>
                <c:formatCode>General</c:formatCode>
                <c:ptCount val="51"/>
                <c:pt idx="0">
                  <c:v>1.3694672632841627E-9</c:v>
                </c:pt>
                <c:pt idx="1">
                  <c:v>2.6549760225747518E-9</c:v>
                </c:pt>
                <c:pt idx="2">
                  <c:v>4.9935980384127646E-9</c:v>
                </c:pt>
                <c:pt idx="3">
                  <c:v>9.1227067481828645E-9</c:v>
                </c:pt>
                <c:pt idx="4">
                  <c:v>1.622537678404704E-8</c:v>
                </c:pt>
                <c:pt idx="5">
                  <c:v>2.8218843041486511E-8</c:v>
                </c:pt>
                <c:pt idx="6">
                  <c:v>4.8378318651335521E-8</c:v>
                </c:pt>
                <c:pt idx="7">
                  <c:v>8.288488717855586E-8</c:v>
                </c:pt>
                <c:pt idx="8">
                  <c:v>1.448627836430784E-7</c:v>
                </c:pt>
                <c:pt idx="9">
                  <c:v>2.6480025119237743E-7</c:v>
                </c:pt>
                <c:pt idx="10">
                  <c:v>5.1643229904796515E-7</c:v>
                </c:pt>
                <c:pt idx="11">
                  <c:v>1.0779224911313975E-6</c:v>
                </c:pt>
                <c:pt idx="12">
                  <c:v>2.3689017804478272E-6</c:v>
                </c:pt>
                <c:pt idx="13">
                  <c:v>5.3406444553762353E-6</c:v>
                </c:pt>
                <c:pt idx="14">
                  <c:v>1.2055681213283809E-5</c:v>
                </c:pt>
                <c:pt idx="15">
                  <c:v>2.6776896148984032E-5</c:v>
                </c:pt>
                <c:pt idx="16">
                  <c:v>5.788504948192443E-5</c:v>
                </c:pt>
                <c:pt idx="17">
                  <c:v>1.2102411536160738E-4</c:v>
                </c:pt>
                <c:pt idx="18">
                  <c:v>2.4386608514809102E-4</c:v>
                </c:pt>
                <c:pt idx="19">
                  <c:v>4.7268225375497253E-4</c:v>
                </c:pt>
                <c:pt idx="20">
                  <c:v>8.8037998577137982E-4</c:v>
                </c:pt>
                <c:pt idx="21">
                  <c:v>1.5747276012533034E-3</c:v>
                </c:pt>
                <c:pt idx="22">
                  <c:v>2.7042001604505594E-3</c:v>
                </c:pt>
                <c:pt idx="23">
                  <c:v>4.4575385348877127E-3</c:v>
                </c:pt>
                <c:pt idx="24">
                  <c:v>7.0523264296775343E-3</c:v>
                </c:pt>
                <c:pt idx="25">
                  <c:v>1.0708466070373611E-2</c:v>
                </c:pt>
                <c:pt idx="26">
                  <c:v>1.560509473559438E-2</c:v>
                </c:pt>
                <c:pt idx="27">
                  <c:v>2.1824397762827887E-2</c:v>
                </c:pt>
                <c:pt idx="28">
                  <c:v>2.9292098408082744E-2</c:v>
                </c:pt>
                <c:pt idx="29">
                  <c:v>3.7730149764217936E-2</c:v>
                </c:pt>
                <c:pt idx="30">
                  <c:v>4.6639611185517592E-2</c:v>
                </c:pt>
                <c:pt idx="31">
                  <c:v>5.5328485992354536E-2</c:v>
                </c:pt>
                <c:pt idx="32">
                  <c:v>6.2989709186618059E-2</c:v>
                </c:pt>
                <c:pt idx="33">
                  <c:v>6.8820378820981659E-2</c:v>
                </c:pt>
                <c:pt idx="34">
                  <c:v>7.2159075968830991E-2</c:v>
                </c:pt>
                <c:pt idx="35">
                  <c:v>7.2609124517703627E-2</c:v>
                </c:pt>
                <c:pt idx="36">
                  <c:v>7.0116091402612268E-2</c:v>
                </c:pt>
                <c:pt idx="37">
                  <c:v>6.4978609474002302E-2</c:v>
                </c:pt>
                <c:pt idx="38">
                  <c:v>5.7789550550253088E-2</c:v>
                </c:pt>
                <c:pt idx="39">
                  <c:v>4.9323557325669599E-2</c:v>
                </c:pt>
                <c:pt idx="40">
                  <c:v>4.0400396334700862E-2</c:v>
                </c:pt>
                <c:pt idx="41">
                  <c:v>3.1757259105426761E-2</c:v>
                </c:pt>
                <c:pt idx="42">
                  <c:v>2.3956675322227654E-2</c:v>
                </c:pt>
                <c:pt idx="43">
                  <c:v>1.7343479303574834E-2</c:v>
                </c:pt>
                <c:pt idx="44">
                  <c:v>1.2049583858230944E-2</c:v>
                </c:pt>
                <c:pt idx="45">
                  <c:v>8.0340404113402025E-3</c:v>
                </c:pt>
                <c:pt idx="46">
                  <c:v>5.1406982917082513E-3</c:v>
                </c:pt>
                <c:pt idx="47">
                  <c:v>3.1567221641983561E-3</c:v>
                </c:pt>
                <c:pt idx="48">
                  <c:v>1.8602732570529841E-3</c:v>
                </c:pt>
                <c:pt idx="49">
                  <c:v>1.0520666772210884E-3</c:v>
                </c:pt>
                <c:pt idx="50">
                  <c:v>5.7099976098259756E-4</c:v>
                </c:pt>
              </c:numCache>
            </c:numRef>
          </c:val>
        </c:ser>
        <c:ser>
          <c:idx val="41"/>
          <c:order val="41"/>
          <c:tx>
            <c:strRef>
              <c:f>'Mixture of 2 Gaussian dist.'!$B$191</c:f>
              <c:strCache>
                <c:ptCount val="1"/>
                <c:pt idx="0">
                  <c:v>4.848794821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dist.'!$C$191:$BA$191</c:f>
              <c:numCache>
                <c:formatCode>General</c:formatCode>
                <c:ptCount val="51"/>
                <c:pt idx="0">
                  <c:v>4.9945857380370918E-10</c:v>
                </c:pt>
                <c:pt idx="1">
                  <c:v>9.7558953228050832E-10</c:v>
                </c:pt>
                <c:pt idx="2">
                  <c:v>1.852205373566828E-9</c:v>
                </c:pt>
                <c:pt idx="3">
                  <c:v>3.4280744818554913E-9</c:v>
                </c:pt>
                <c:pt idx="4">
                  <c:v>6.2197275659510643E-9</c:v>
                </c:pt>
                <c:pt idx="5">
                  <c:v>1.1173472999896762E-8</c:v>
                </c:pt>
                <c:pt idx="6">
                  <c:v>2.0203009424494633E-8</c:v>
                </c:pt>
                <c:pt idx="7">
                  <c:v>3.7624918156425341E-8</c:v>
                </c:pt>
                <c:pt idx="8">
                  <c:v>7.3977706807316494E-8</c:v>
                </c:pt>
                <c:pt idx="9">
                  <c:v>1.5585834608244897E-7</c:v>
                </c:pt>
                <c:pt idx="10">
                  <c:v>3.5014071838902815E-7</c:v>
                </c:pt>
                <c:pt idx="11">
                  <c:v>8.2065975470768475E-7</c:v>
                </c:pt>
                <c:pt idx="12">
                  <c:v>1.9539692011890466E-6</c:v>
                </c:pt>
                <c:pt idx="13">
                  <c:v>4.6232218897451791E-6</c:v>
                </c:pt>
                <c:pt idx="14">
                  <c:v>1.0710604300384646E-5</c:v>
                </c:pt>
                <c:pt idx="15">
                  <c:v>2.4080222579039103E-5</c:v>
                </c:pt>
                <c:pt idx="16">
                  <c:v>5.2274947214197812E-5</c:v>
                </c:pt>
                <c:pt idx="17">
                  <c:v>1.0927128037114773E-4</c:v>
                </c:pt>
                <c:pt idx="18">
                  <c:v>2.1960383335200588E-4</c:v>
                </c:pt>
                <c:pt idx="19">
                  <c:v>4.2397231087149532E-4</c:v>
                </c:pt>
                <c:pt idx="20">
                  <c:v>7.8596576068569555E-4</c:v>
                </c:pt>
                <c:pt idx="21">
                  <c:v>1.3987215844917234E-3</c:v>
                </c:pt>
                <c:pt idx="22">
                  <c:v>2.3892484360130166E-3</c:v>
                </c:pt>
                <c:pt idx="23">
                  <c:v>3.9170652076128912E-3</c:v>
                </c:pt>
                <c:pt idx="24">
                  <c:v>6.1632709707045699E-3</c:v>
                </c:pt>
                <c:pt idx="25">
                  <c:v>9.3068394758764432E-3</c:v>
                </c:pt>
                <c:pt idx="26">
                  <c:v>1.3487383445259616E-2</c:v>
                </c:pt>
                <c:pt idx="27">
                  <c:v>1.8757901899831921E-2</c:v>
                </c:pt>
                <c:pt idx="28">
                  <c:v>2.5036285026501768E-2</c:v>
                </c:pt>
                <c:pt idx="29">
                  <c:v>3.2068851818218592E-2</c:v>
                </c:pt>
                <c:pt idx="30">
                  <c:v>3.942068229405752E-2</c:v>
                </c:pt>
                <c:pt idx="31">
                  <c:v>4.6504143536265932E-2</c:v>
                </c:pt>
                <c:pt idx="32">
                  <c:v>5.2648463637242411E-2</c:v>
                </c:pt>
                <c:pt idx="33">
                  <c:v>5.7201331889791845E-2</c:v>
                </c:pt>
                <c:pt idx="34">
                  <c:v>5.9642092796018877E-2</c:v>
                </c:pt>
                <c:pt idx="35">
                  <c:v>5.9679591810460064E-2</c:v>
                </c:pt>
                <c:pt idx="36">
                  <c:v>5.7309288310632998E-2</c:v>
                </c:pt>
                <c:pt idx="37">
                  <c:v>5.2814158608682042E-2</c:v>
                </c:pt>
                <c:pt idx="38">
                  <c:v>4.6709140965432883E-2</c:v>
                </c:pt>
                <c:pt idx="39">
                  <c:v>3.964419016329087E-2</c:v>
                </c:pt>
                <c:pt idx="40">
                  <c:v>3.2291139512666989E-2</c:v>
                </c:pt>
                <c:pt idx="41">
                  <c:v>2.5241394082359755E-2</c:v>
                </c:pt>
                <c:pt idx="42">
                  <c:v>1.893518040494006E-2</c:v>
                </c:pt>
                <c:pt idx="43">
                  <c:v>1.3631752708632141E-2</c:v>
                </c:pt>
                <c:pt idx="44">
                  <c:v>9.4180304807166999E-3</c:v>
                </c:pt>
                <c:pt idx="45">
                  <c:v>6.2444562098990901E-3</c:v>
                </c:pt>
                <c:pt idx="46">
                  <c:v>3.973336041927125E-3</c:v>
                </c:pt>
                <c:pt idx="47">
                  <c:v>2.4262866483689381E-3</c:v>
                </c:pt>
                <c:pt idx="48">
                  <c:v>1.4218541796714927E-3</c:v>
                </c:pt>
                <c:pt idx="49">
                  <c:v>7.9963933345311375E-4</c:v>
                </c:pt>
                <c:pt idx="50">
                  <c:v>4.3157807815353075E-4</c:v>
                </c:pt>
              </c:numCache>
            </c:numRef>
          </c:val>
        </c:ser>
        <c:ser>
          <c:idx val="42"/>
          <c:order val="42"/>
          <c:tx>
            <c:strRef>
              <c:f>'Mixture of 2 Gaussian dist.'!$B$192</c:f>
              <c:strCache>
                <c:ptCount val="1"/>
                <c:pt idx="0">
                  <c:v>5.039981489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dist.'!$C$192:$BA$192</c:f>
              <c:numCache>
                <c:formatCode>General</c:formatCode>
                <c:ptCount val="51"/>
                <c:pt idx="0">
                  <c:v>1.7604931385227558E-10</c:v>
                </c:pt>
                <c:pt idx="1">
                  <c:v>3.474839658764339E-10</c:v>
                </c:pt>
                <c:pt idx="2">
                  <c:v>6.697403527610499E-10</c:v>
                </c:pt>
                <c:pt idx="3">
                  <c:v>1.2693835643405378E-9</c:v>
                </c:pt>
                <c:pt idx="4">
                  <c:v>2.3950309111994701E-9</c:v>
                </c:pt>
                <c:pt idx="5">
                  <c:v>4.5856508956086198E-9</c:v>
                </c:pt>
                <c:pt idx="6">
                  <c:v>9.1344078859083085E-9</c:v>
                </c:pt>
                <c:pt idx="7">
                  <c:v>1.9365843125396073E-8</c:v>
                </c:pt>
                <c:pt idx="8">
                  <c:v>4.4052417463132767E-8</c:v>
                </c:pt>
                <c:pt idx="9">
                  <c:v>1.0617706339198684E-7</c:v>
                </c:pt>
                <c:pt idx="10">
                  <c:v>2.6434883695410545E-7</c:v>
                </c:pt>
                <c:pt idx="11">
                  <c:v>6.625201993644587E-7</c:v>
                </c:pt>
                <c:pt idx="12">
                  <c:v>1.6393821583053854E-6</c:v>
                </c:pt>
                <c:pt idx="13">
                  <c:v>3.9560179683865857E-6</c:v>
                </c:pt>
                <c:pt idx="14">
                  <c:v>9.242829519899199E-6</c:v>
                </c:pt>
                <c:pt idx="15">
                  <c:v>2.0824524752235503E-5</c:v>
                </c:pt>
                <c:pt idx="16">
                  <c:v>4.5145530173610812E-5</c:v>
                </c:pt>
                <c:pt idx="17">
                  <c:v>9.4060232739203714E-5</c:v>
                </c:pt>
                <c:pt idx="18">
                  <c:v>1.8822085821034156E-4</c:v>
                </c:pt>
                <c:pt idx="19">
                  <c:v>3.616150463291569E-4</c:v>
                </c:pt>
                <c:pt idx="20">
                  <c:v>6.668959917778876E-4</c:v>
                </c:pt>
                <c:pt idx="21">
                  <c:v>1.1804729761216582E-3</c:v>
                </c:pt>
                <c:pt idx="22">
                  <c:v>2.005461703753382E-3</c:v>
                </c:pt>
                <c:pt idx="23">
                  <c:v>3.2697796866955203E-3</c:v>
                </c:pt>
                <c:pt idx="24">
                  <c:v>5.1163486704640278E-3</c:v>
                </c:pt>
                <c:pt idx="25">
                  <c:v>7.6830660593916154E-3</c:v>
                </c:pt>
                <c:pt idx="26">
                  <c:v>1.1072331087932446E-2</c:v>
                </c:pt>
                <c:pt idx="27">
                  <c:v>1.5313414338637366E-2</c:v>
                </c:pt>
                <c:pt idx="28">
                  <c:v>2.0325093103195906E-2</c:v>
                </c:pt>
                <c:pt idx="29">
                  <c:v>2.5889284113248708E-2</c:v>
                </c:pt>
                <c:pt idx="30">
                  <c:v>3.1647120235284848E-2</c:v>
                </c:pt>
                <c:pt idx="31">
                  <c:v>3.712571369292645E-2</c:v>
                </c:pt>
                <c:pt idx="32">
                  <c:v>4.179667775770611E-2</c:v>
                </c:pt>
                <c:pt idx="33">
                  <c:v>4.5158029003223452E-2</c:v>
                </c:pt>
                <c:pt idx="34">
                  <c:v>4.6822479812873893E-2</c:v>
                </c:pt>
                <c:pt idx="35">
                  <c:v>4.6590785556573526E-2</c:v>
                </c:pt>
                <c:pt idx="36">
                  <c:v>4.4490965049208631E-2</c:v>
                </c:pt>
                <c:pt idx="37">
                  <c:v>4.0772728828526644E-2</c:v>
                </c:pt>
                <c:pt idx="38">
                  <c:v>3.5858645753788221E-2</c:v>
                </c:pt>
                <c:pt idx="39">
                  <c:v>3.0265241005867312E-2</c:v>
                </c:pt>
                <c:pt idx="40">
                  <c:v>2.4514358555221879E-2</c:v>
                </c:pt>
                <c:pt idx="41">
                  <c:v>1.9055619569889475E-2</c:v>
                </c:pt>
                <c:pt idx="42">
                  <c:v>1.4215160091817426E-2</c:v>
                </c:pt>
                <c:pt idx="43">
                  <c:v>1.0176690734928584E-2</c:v>
                </c:pt>
                <c:pt idx="44">
                  <c:v>6.9917765155669545E-3</c:v>
                </c:pt>
                <c:pt idx="45">
                  <c:v>4.6099332699001986E-3</c:v>
                </c:pt>
                <c:pt idx="46">
                  <c:v>2.916942571220243E-3</c:v>
                </c:pt>
                <c:pt idx="47">
                  <c:v>1.7712801579991264E-3</c:v>
                </c:pt>
                <c:pt idx="48">
                  <c:v>1.0322212020024246E-3</c:v>
                </c:pt>
                <c:pt idx="49">
                  <c:v>5.7727723538333528E-4</c:v>
                </c:pt>
                <c:pt idx="50">
                  <c:v>3.0982911512529262E-4</c:v>
                </c:pt>
              </c:numCache>
            </c:numRef>
          </c:val>
        </c:ser>
        <c:ser>
          <c:idx val="43"/>
          <c:order val="43"/>
          <c:tx>
            <c:strRef>
              <c:f>'Mixture of 2 Gaussian dist.'!$B$193</c:f>
              <c:strCache>
                <c:ptCount val="1"/>
                <c:pt idx="0">
                  <c:v>5.231168156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dist.'!$C$193:$BA$193</c:f>
              <c:numCache>
                <c:formatCode>General</c:formatCode>
                <c:ptCount val="51"/>
                <c:pt idx="0">
                  <c:v>6.0249090774563993E-11</c:v>
                </c:pt>
                <c:pt idx="1">
                  <c:v>1.2104119394469655E-10</c:v>
                </c:pt>
                <c:pt idx="2">
                  <c:v>2.4005094169536701E-10</c:v>
                </c:pt>
                <c:pt idx="3">
                  <c:v>4.7696717938556932E-10</c:v>
                </c:pt>
                <c:pt idx="4">
                  <c:v>9.7054921938654938E-10</c:v>
                </c:pt>
                <c:pt idx="5">
                  <c:v>2.075104859129809E-9</c:v>
                </c:pt>
                <c:pt idx="6">
                  <c:v>4.7505914516054685E-9</c:v>
                </c:pt>
                <c:pt idx="7">
                  <c:v>1.1647764555622949E-8</c:v>
                </c:pt>
                <c:pt idx="8">
                  <c:v>3.0007748160671965E-8</c:v>
                </c:pt>
                <c:pt idx="9">
                  <c:v>7.9057982952047648E-8</c:v>
                </c:pt>
                <c:pt idx="10">
                  <c:v>2.0796143135013014E-7</c:v>
                </c:pt>
                <c:pt idx="11">
                  <c:v>5.3717341601186104E-7</c:v>
                </c:pt>
                <c:pt idx="12">
                  <c:v>1.3487370159855766E-6</c:v>
                </c:pt>
                <c:pt idx="13">
                  <c:v>3.2726965165709308E-6</c:v>
                </c:pt>
                <c:pt idx="14">
                  <c:v>7.6500405489898009E-6</c:v>
                </c:pt>
                <c:pt idx="15">
                  <c:v>1.7196819850864572E-5</c:v>
                </c:pt>
                <c:pt idx="16">
                  <c:v>3.7140793958733577E-5</c:v>
                </c:pt>
                <c:pt idx="17">
                  <c:v>7.7028530078941849E-5</c:v>
                </c:pt>
                <c:pt idx="18">
                  <c:v>1.5336587609741188E-4</c:v>
                </c:pt>
                <c:pt idx="19">
                  <c:v>2.9310031730328702E-4</c:v>
                </c:pt>
                <c:pt idx="20">
                  <c:v>5.3762266149308326E-4</c:v>
                </c:pt>
                <c:pt idx="21">
                  <c:v>9.4643783968133288E-4</c:v>
                </c:pt>
                <c:pt idx="22">
                  <c:v>1.5989995752076201E-3</c:v>
                </c:pt>
                <c:pt idx="23">
                  <c:v>2.5926254481232459E-3</c:v>
                </c:pt>
                <c:pt idx="24">
                  <c:v>4.0342484433537988E-3</c:v>
                </c:pt>
                <c:pt idx="25">
                  <c:v>6.0244133705846508E-3</c:v>
                </c:pt>
                <c:pt idx="26">
                  <c:v>8.6336589261400039E-3</c:v>
                </c:pt>
                <c:pt idx="27">
                  <c:v>1.1874142865349442E-2</c:v>
                </c:pt>
                <c:pt idx="28">
                  <c:v>1.5672434723939938E-2</c:v>
                </c:pt>
                <c:pt idx="29">
                  <c:v>1.985167806691257E-2</c:v>
                </c:pt>
                <c:pt idx="30">
                  <c:v>2.41315030365357E-2</c:v>
                </c:pt>
                <c:pt idx="31">
                  <c:v>2.8151258878630375E-2</c:v>
                </c:pt>
                <c:pt idx="32">
                  <c:v>3.1516465563244819E-2</c:v>
                </c:pt>
                <c:pt idx="33">
                  <c:v>3.3861281970014777E-2</c:v>
                </c:pt>
                <c:pt idx="34">
                  <c:v>3.491366692724901E-2</c:v>
                </c:pt>
                <c:pt idx="35">
                  <c:v>3.4547267082976403E-2</c:v>
                </c:pt>
                <c:pt idx="36">
                  <c:v>3.280636300998839E-2</c:v>
                </c:pt>
                <c:pt idx="37">
                  <c:v>2.9897069741516631E-2</c:v>
                </c:pt>
                <c:pt idx="38">
                  <c:v>2.6147207225649772E-2</c:v>
                </c:pt>
                <c:pt idx="39">
                  <c:v>2.194563423481118E-2</c:v>
                </c:pt>
                <c:pt idx="40">
                  <c:v>1.7676533725344869E-2</c:v>
                </c:pt>
                <c:pt idx="41">
                  <c:v>1.3663822652377276E-2</c:v>
                </c:pt>
                <c:pt idx="42">
                  <c:v>1.0136160224005521E-2</c:v>
                </c:pt>
                <c:pt idx="43">
                  <c:v>7.2160719833949498E-3</c:v>
                </c:pt>
                <c:pt idx="44">
                  <c:v>4.9300847609129129E-3</c:v>
                </c:pt>
                <c:pt idx="45">
                  <c:v>3.2324666595036325E-3</c:v>
                </c:pt>
                <c:pt idx="46">
                  <c:v>2.0339480731766287E-3</c:v>
                </c:pt>
                <c:pt idx="47">
                  <c:v>1.2282076749486738E-3</c:v>
                </c:pt>
                <c:pt idx="48">
                  <c:v>7.117539587264219E-4</c:v>
                </c:pt>
                <c:pt idx="49">
                  <c:v>3.9583492908883307E-4</c:v>
                </c:pt>
                <c:pt idx="50">
                  <c:v>2.1126350269149078E-4</c:v>
                </c:pt>
              </c:numCache>
            </c:numRef>
          </c:val>
        </c:ser>
        <c:ser>
          <c:idx val="44"/>
          <c:order val="44"/>
          <c:tx>
            <c:strRef>
              <c:f>'Mixture of 2 Gaussian dist.'!$B$194</c:f>
              <c:strCache>
                <c:ptCount val="1"/>
                <c:pt idx="0">
                  <c:v>5.422354824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dist.'!$C$194:$BA$194</c:f>
              <c:numCache>
                <c:formatCode>General</c:formatCode>
                <c:ptCount val="51"/>
                <c:pt idx="0">
                  <c:v>2.0245969868079935E-11</c:v>
                </c:pt>
                <c:pt idx="1">
                  <c:v>4.209765244541538E-11</c:v>
                </c:pt>
                <c:pt idx="2">
                  <c:v>8.8356873697583903E-11</c:v>
                </c:pt>
                <c:pt idx="3">
                  <c:v>1.9179571192113294E-10</c:v>
                </c:pt>
                <c:pt idx="4">
                  <c:v>4.4145063780504767E-10</c:v>
                </c:pt>
                <c:pt idx="5">
                  <c:v>1.0915613050233242E-9</c:v>
                </c:pt>
                <c:pt idx="6">
                  <c:v>2.8769669807853563E-9</c:v>
                </c:pt>
                <c:pt idx="7">
                  <c:v>7.8912009293078484E-9</c:v>
                </c:pt>
                <c:pt idx="8">
                  <c:v>2.1923052084281188E-8</c:v>
                </c:pt>
                <c:pt idx="9">
                  <c:v>6.0379794538277337E-8</c:v>
                </c:pt>
                <c:pt idx="10">
                  <c:v>1.6256243953912382E-7</c:v>
                </c:pt>
                <c:pt idx="11">
                  <c:v>4.2431693549038891E-7</c:v>
                </c:pt>
                <c:pt idx="12">
                  <c:v>1.0687827246404991E-6</c:v>
                </c:pt>
                <c:pt idx="13">
                  <c:v>2.5913050545663105E-6</c:v>
                </c:pt>
                <c:pt idx="14">
                  <c:v>6.0392542817586802E-6</c:v>
                </c:pt>
                <c:pt idx="15">
                  <c:v>1.351955817179062E-5</c:v>
                </c:pt>
                <c:pt idx="16">
                  <c:v>2.9059078630876252E-5</c:v>
                </c:pt>
                <c:pt idx="17">
                  <c:v>5.9957877485334186E-5</c:v>
                </c:pt>
                <c:pt idx="18">
                  <c:v>1.1874175316055617E-4</c:v>
                </c:pt>
                <c:pt idx="19">
                  <c:v>2.2569632727147403E-4</c:v>
                </c:pt>
                <c:pt idx="20">
                  <c:v>4.1171166106491325E-4</c:v>
                </c:pt>
                <c:pt idx="21">
                  <c:v>7.2077607099942337E-4</c:v>
                </c:pt>
                <c:pt idx="22">
                  <c:v>1.2109909026197627E-3</c:v>
                </c:pt>
                <c:pt idx="23">
                  <c:v>1.9525931149923922E-3</c:v>
                </c:pt>
                <c:pt idx="24">
                  <c:v>3.0214210975296053E-3</c:v>
                </c:pt>
                <c:pt idx="25">
                  <c:v>4.4868173128329494E-3</c:v>
                </c:pt>
                <c:pt idx="26">
                  <c:v>6.394293263285329E-3</c:v>
                </c:pt>
                <c:pt idx="27">
                  <c:v>8.7452735110090662E-3</c:v>
                </c:pt>
                <c:pt idx="28">
                  <c:v>1.147838308119445E-2</c:v>
                </c:pt>
                <c:pt idx="29">
                  <c:v>1.4458204983815094E-2</c:v>
                </c:pt>
                <c:pt idx="30">
                  <c:v>1.747729866337543E-2</c:v>
                </c:pt>
                <c:pt idx="31">
                  <c:v>2.0274981067949512E-2</c:v>
                </c:pt>
                <c:pt idx="32">
                  <c:v>2.257214320073132E-2</c:v>
                </c:pt>
                <c:pt idx="33">
                  <c:v>2.411633498442781E-2</c:v>
                </c:pt>
                <c:pt idx="34">
                  <c:v>2.4727259036725617E-2</c:v>
                </c:pt>
                <c:pt idx="35">
                  <c:v>2.4331383362048452E-2</c:v>
                </c:pt>
                <c:pt idx="36">
                  <c:v>2.2976494635980692E-2</c:v>
                </c:pt>
                <c:pt idx="37">
                  <c:v>2.0822213121470621E-2</c:v>
                </c:pt>
                <c:pt idx="38">
                  <c:v>1.81090698963907E-2</c:v>
                </c:pt>
                <c:pt idx="39">
                  <c:v>1.511442200715352E-2</c:v>
                </c:pt>
                <c:pt idx="40">
                  <c:v>1.2106346034715004E-2</c:v>
                </c:pt>
                <c:pt idx="41">
                  <c:v>9.3059510151520357E-3</c:v>
                </c:pt>
                <c:pt idx="42">
                  <c:v>6.8649057726683027E-3</c:v>
                </c:pt>
                <c:pt idx="43">
                  <c:v>4.8599806257602655E-3</c:v>
                </c:pt>
                <c:pt idx="44">
                  <c:v>3.3018750477591505E-3</c:v>
                </c:pt>
                <c:pt idx="45">
                  <c:v>2.1528455290646597E-3</c:v>
                </c:pt>
                <c:pt idx="46">
                  <c:v>1.3470733468529431E-3</c:v>
                </c:pt>
                <c:pt idx="47">
                  <c:v>8.0890171418603236E-4</c:v>
                </c:pt>
                <c:pt idx="48">
                  <c:v>4.6615077094073473E-4</c:v>
                </c:pt>
                <c:pt idx="49">
                  <c:v>2.5780016823716647E-4</c:v>
                </c:pt>
                <c:pt idx="50">
                  <c:v>1.3682521038386932E-4</c:v>
                </c:pt>
              </c:numCache>
            </c:numRef>
          </c:val>
        </c:ser>
        <c:ser>
          <c:idx val="45"/>
          <c:order val="45"/>
          <c:tx>
            <c:strRef>
              <c:f>'Mixture of 2 Gaussian dist.'!$B$195</c:f>
              <c:strCache>
                <c:ptCount val="1"/>
                <c:pt idx="0">
                  <c:v>5.613541492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dist.'!$C$195:$BA$195</c:f>
              <c:numCache>
                <c:formatCode>General</c:formatCode>
                <c:ptCount val="51"/>
                <c:pt idx="0">
                  <c:v>6.8528005099444763E-12</c:v>
                </c:pt>
                <c:pt idx="1">
                  <c:v>1.5244807938732241E-11</c:v>
                </c:pt>
                <c:pt idx="2">
                  <c:v>3.5430769636046236E-11</c:v>
                </c:pt>
                <c:pt idx="3">
                  <c:v>8.7974117402228644E-11</c:v>
                </c:pt>
                <c:pt idx="4">
                  <c:v>2.3472619035861078E-10</c:v>
                </c:pt>
                <c:pt idx="5">
                  <c:v>6.6277370282706688E-10</c:v>
                </c:pt>
                <c:pt idx="6">
                  <c:v>1.9279604005696443E-9</c:v>
                </c:pt>
                <c:pt idx="7">
                  <c:v>5.6306376586003908E-9</c:v>
                </c:pt>
                <c:pt idx="8">
                  <c:v>1.6203830761984106E-8</c:v>
                </c:pt>
                <c:pt idx="9">
                  <c:v>4.5416770466376144E-8</c:v>
                </c:pt>
                <c:pt idx="10">
                  <c:v>1.2315296801980602E-7</c:v>
                </c:pt>
                <c:pt idx="11">
                  <c:v>3.218834924610208E-7</c:v>
                </c:pt>
                <c:pt idx="12">
                  <c:v>8.0929644691345245E-7</c:v>
                </c:pt>
                <c:pt idx="13">
                  <c:v>1.9552509463157678E-6</c:v>
                </c:pt>
                <c:pt idx="14">
                  <c:v>4.5365951943119284E-6</c:v>
                </c:pt>
                <c:pt idx="15">
                  <c:v>1.0105383704168252E-5</c:v>
                </c:pt>
                <c:pt idx="16">
                  <c:v>2.1607066926337456E-5</c:v>
                </c:pt>
                <c:pt idx="17">
                  <c:v>4.4342254325128262E-5</c:v>
                </c:pt>
                <c:pt idx="18">
                  <c:v>8.7336494555277826E-5</c:v>
                </c:pt>
                <c:pt idx="19">
                  <c:v>1.6508855416274337E-4</c:v>
                </c:pt>
                <c:pt idx="20">
                  <c:v>2.9948436657097782E-4</c:v>
                </c:pt>
                <c:pt idx="21">
                  <c:v>5.2139062206584062E-4</c:v>
                </c:pt>
                <c:pt idx="22">
                  <c:v>8.7112760221363711E-4</c:v>
                </c:pt>
                <c:pt idx="23">
                  <c:v>1.3967814664835711E-3</c:v>
                </c:pt>
                <c:pt idx="24">
                  <c:v>2.1493269355637615E-3</c:v>
                </c:pt>
                <c:pt idx="25">
                  <c:v>3.1739739269053269E-3</c:v>
                </c:pt>
                <c:pt idx="26">
                  <c:v>4.4981175778033861E-3</c:v>
                </c:pt>
                <c:pt idx="27">
                  <c:v>6.1176504470095636E-3</c:v>
                </c:pt>
                <c:pt idx="28">
                  <c:v>7.9848142554499683E-3</c:v>
                </c:pt>
                <c:pt idx="29">
                  <c:v>1.0001640026557474E-2</c:v>
                </c:pt>
                <c:pt idx="30">
                  <c:v>1.2022750238425322E-2</c:v>
                </c:pt>
                <c:pt idx="31">
                  <c:v>1.3869557669983592E-2</c:v>
                </c:pt>
                <c:pt idx="32">
                  <c:v>1.5354920118312451E-2</c:v>
                </c:pt>
                <c:pt idx="33">
                  <c:v>1.6313932756923021E-2</c:v>
                </c:pt>
                <c:pt idx="34">
                  <c:v>1.6633970391128287E-2</c:v>
                </c:pt>
                <c:pt idx="35">
                  <c:v>1.627643642435838E-2</c:v>
                </c:pt>
                <c:pt idx="36">
                  <c:v>1.5284416781379319E-2</c:v>
                </c:pt>
                <c:pt idx="37">
                  <c:v>1.3774142097447973E-2</c:v>
                </c:pt>
                <c:pt idx="38">
                  <c:v>1.1912595271253138E-2</c:v>
                </c:pt>
                <c:pt idx="39">
                  <c:v>9.8872235785433301E-3</c:v>
                </c:pt>
                <c:pt idx="40">
                  <c:v>7.8753245838352921E-3</c:v>
                </c:pt>
                <c:pt idx="41">
                  <c:v>6.0198921280659838E-3</c:v>
                </c:pt>
                <c:pt idx="42">
                  <c:v>4.4160613152589255E-3</c:v>
                </c:pt>
                <c:pt idx="43">
                  <c:v>3.108906202130347E-3</c:v>
                </c:pt>
                <c:pt idx="44">
                  <c:v>2.1004206652947338E-3</c:v>
                </c:pt>
                <c:pt idx="45">
                  <c:v>1.3618556733847121E-3</c:v>
                </c:pt>
                <c:pt idx="46">
                  <c:v>8.4738744449308699E-4</c:v>
                </c:pt>
                <c:pt idx="47">
                  <c:v>5.0601000501908344E-4</c:v>
                </c:pt>
                <c:pt idx="48">
                  <c:v>2.8997617812165171E-4</c:v>
                </c:pt>
                <c:pt idx="49">
                  <c:v>1.5947465735740831E-4</c:v>
                </c:pt>
                <c:pt idx="50">
                  <c:v>8.4168031933704349E-5</c:v>
                </c:pt>
              </c:numCache>
            </c:numRef>
          </c:val>
        </c:ser>
        <c:ser>
          <c:idx val="46"/>
          <c:order val="46"/>
          <c:tx>
            <c:strRef>
              <c:f>'Mixture of 2 Gaussian dist.'!$B$196</c:f>
              <c:strCache>
                <c:ptCount val="1"/>
                <c:pt idx="0">
                  <c:v>5.80472816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dist.'!$C$196:$BA$196</c:f>
              <c:numCache>
                <c:formatCode>General</c:formatCode>
                <c:ptCount val="51"/>
                <c:pt idx="0">
                  <c:v>2.4530041742613093E-12</c:v>
                </c:pt>
                <c:pt idx="1">
                  <c:v>6.1242614499117583E-12</c:v>
                </c:pt>
                <c:pt idx="2">
                  <c:v>1.6421289813675982E-11</c:v>
                </c:pt>
                <c:pt idx="3">
                  <c:v>4.7180437248481391E-11</c:v>
                </c:pt>
                <c:pt idx="4">
                  <c:v>1.4217936589791607E-10</c:v>
                </c:pt>
                <c:pt idx="5">
                  <c:v>4.3702269802308268E-10</c:v>
                </c:pt>
                <c:pt idx="6">
                  <c:v>1.3381608070353962E-9</c:v>
                </c:pt>
                <c:pt idx="7">
                  <c:v>4.0170974716457162E-9</c:v>
                </c:pt>
                <c:pt idx="8">
                  <c:v>1.1710065294666728E-8</c:v>
                </c:pt>
                <c:pt idx="9">
                  <c:v>3.2969350656715551E-8</c:v>
                </c:pt>
                <c:pt idx="10">
                  <c:v>8.9389987458319033E-8</c:v>
                </c:pt>
                <c:pt idx="11">
                  <c:v>2.3302697547484792E-7</c:v>
                </c:pt>
                <c:pt idx="12">
                  <c:v>5.8356855120704224E-7</c:v>
                </c:pt>
                <c:pt idx="13">
                  <c:v>1.4032854271674524E-6</c:v>
                </c:pt>
                <c:pt idx="14">
                  <c:v>3.2393668226431186E-6</c:v>
                </c:pt>
                <c:pt idx="15">
                  <c:v>7.1775287242152369E-6</c:v>
                </c:pt>
                <c:pt idx="16">
                  <c:v>1.5263628411958866E-5</c:v>
                </c:pt>
                <c:pt idx="17">
                  <c:v>3.1152329271425388E-5</c:v>
                </c:pt>
                <c:pt idx="18">
                  <c:v>6.1018706067391963E-5</c:v>
                </c:pt>
                <c:pt idx="19">
                  <c:v>1.1470159258655716E-4</c:v>
                </c:pt>
                <c:pt idx="20">
                  <c:v>2.0692197312674671E-4</c:v>
                </c:pt>
                <c:pt idx="21">
                  <c:v>3.5823878163454884E-4</c:v>
                </c:pt>
                <c:pt idx="22">
                  <c:v>5.9520465540040344E-4</c:v>
                </c:pt>
                <c:pt idx="23">
                  <c:v>9.4904571299495835E-4</c:v>
                </c:pt>
                <c:pt idx="24">
                  <c:v>1.4522275065824279E-3</c:v>
                </c:pt>
                <c:pt idx="25">
                  <c:v>2.1325964136802472E-3</c:v>
                </c:pt>
                <c:pt idx="26">
                  <c:v>3.0054467996410905E-3</c:v>
                </c:pt>
                <c:pt idx="27">
                  <c:v>4.0647672922741237E-3</c:v>
                </c:pt>
                <c:pt idx="28">
                  <c:v>5.2758027753781753E-3</c:v>
                </c:pt>
                <c:pt idx="29">
                  <c:v>6.5715468439739473E-3</c:v>
                </c:pt>
                <c:pt idx="30">
                  <c:v>7.8554819703097641E-3</c:v>
                </c:pt>
                <c:pt idx="31">
                  <c:v>9.0116481001015301E-3</c:v>
                </c:pt>
                <c:pt idx="32">
                  <c:v>9.9211442724525655E-3</c:v>
                </c:pt>
                <c:pt idx="33">
                  <c:v>1.048203133184448E-2</c:v>
                </c:pt>
                <c:pt idx="34">
                  <c:v>1.0628091541334745E-2</c:v>
                </c:pt>
                <c:pt idx="35">
                  <c:v>1.0341683962147602E-2</c:v>
                </c:pt>
                <c:pt idx="36">
                  <c:v>9.6572478664155598E-3</c:v>
                </c:pt>
                <c:pt idx="37">
                  <c:v>8.6544930827545438E-3</c:v>
                </c:pt>
                <c:pt idx="38">
                  <c:v>7.4431373242089486E-3</c:v>
                </c:pt>
                <c:pt idx="39">
                  <c:v>6.1432270600124649E-3</c:v>
                </c:pt>
                <c:pt idx="40">
                  <c:v>4.8659007072462531E-3</c:v>
                </c:pt>
                <c:pt idx="41">
                  <c:v>3.698759182902623E-3</c:v>
                </c:pt>
                <c:pt idx="42">
                  <c:v>2.6982054117359777E-3</c:v>
                </c:pt>
                <c:pt idx="43">
                  <c:v>1.8889484250268584E-3</c:v>
                </c:pt>
                <c:pt idx="44">
                  <c:v>1.2690868095715957E-3</c:v>
                </c:pt>
                <c:pt idx="45">
                  <c:v>8.1825505835182114E-4</c:v>
                </c:pt>
                <c:pt idx="46">
                  <c:v>5.0630498780239138E-4</c:v>
                </c:pt>
                <c:pt idx="47">
                  <c:v>3.0065044528656979E-4</c:v>
                </c:pt>
                <c:pt idx="48">
                  <c:v>1.7133166505801261E-4</c:v>
                </c:pt>
                <c:pt idx="49">
                  <c:v>9.3699992936389291E-5</c:v>
                </c:pt>
                <c:pt idx="50">
                  <c:v>4.9177632736478962E-5</c:v>
                </c:pt>
              </c:numCache>
            </c:numRef>
          </c:val>
        </c:ser>
        <c:ser>
          <c:idx val="47"/>
          <c:order val="47"/>
          <c:tx>
            <c:strRef>
              <c:f>'Mixture of 2 Gaussian dist.'!$B$197</c:f>
              <c:strCache>
                <c:ptCount val="1"/>
                <c:pt idx="0">
                  <c:v>5.995914828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dist.'!$C$197:$BA$197</c:f>
              <c:numCache>
                <c:formatCode>General</c:formatCode>
                <c:ptCount val="51"/>
                <c:pt idx="0">
                  <c:v>9.9110897301914277E-13</c:v>
                </c:pt>
                <c:pt idx="1">
                  <c:v>2.8694071087808016E-12</c:v>
                </c:pt>
                <c:pt idx="2">
                  <c:v>8.8516626599068891E-12</c:v>
                </c:pt>
                <c:pt idx="3">
                  <c:v>2.8358088853360298E-11</c:v>
                </c:pt>
                <c:pt idx="4">
                  <c:v>9.1800098716382601E-11</c:v>
                </c:pt>
                <c:pt idx="5">
                  <c:v>2.9404753972020216E-10</c:v>
                </c:pt>
                <c:pt idx="6">
                  <c:v>9.195526094480036E-10</c:v>
                </c:pt>
                <c:pt idx="7">
                  <c:v>2.7857132221809636E-9</c:v>
                </c:pt>
                <c:pt idx="8">
                  <c:v>8.1399916019226467E-9</c:v>
                </c:pt>
                <c:pt idx="9">
                  <c:v>2.2888908676149362E-8</c:v>
                </c:pt>
                <c:pt idx="10">
                  <c:v>6.1857862816383192E-8</c:v>
                </c:pt>
                <c:pt idx="11">
                  <c:v>1.6056122408579385E-7</c:v>
                </c:pt>
                <c:pt idx="12">
                  <c:v>4.0013304067314337E-7</c:v>
                </c:pt>
                <c:pt idx="13">
                  <c:v>9.5719491668123271E-7</c:v>
                </c:pt>
                <c:pt idx="14">
                  <c:v>2.1977670783825321E-6</c:v>
                </c:pt>
                <c:pt idx="15">
                  <c:v>4.8430882198649689E-6</c:v>
                </c:pt>
                <c:pt idx="16">
                  <c:v>1.0242551150739146E-5</c:v>
                </c:pt>
                <c:pt idx="17">
                  <c:v>2.07888695213017E-5</c:v>
                </c:pt>
                <c:pt idx="18">
                  <c:v>4.0493564356325019E-5</c:v>
                </c:pt>
                <c:pt idx="19">
                  <c:v>7.5695651427036567E-5</c:v>
                </c:pt>
                <c:pt idx="20">
                  <c:v>1.357951141107177E-4</c:v>
                </c:pt>
                <c:pt idx="21">
                  <c:v>2.337893770630065E-4</c:v>
                </c:pt>
                <c:pt idx="22">
                  <c:v>3.8627118082961727E-4</c:v>
                </c:pt>
                <c:pt idx="23">
                  <c:v>6.1247228629963588E-4</c:v>
                </c:pt>
                <c:pt idx="24">
                  <c:v>9.3198086989453336E-4</c:v>
                </c:pt>
                <c:pt idx="25">
                  <c:v>1.3609866532202691E-3</c:v>
                </c:pt>
                <c:pt idx="26">
                  <c:v>1.907335011901778E-3</c:v>
                </c:pt>
                <c:pt idx="27">
                  <c:v>2.5652299500744644E-3</c:v>
                </c:pt>
                <c:pt idx="28">
                  <c:v>3.3109437609685497E-3</c:v>
                </c:pt>
                <c:pt idx="29">
                  <c:v>4.1011293942379706E-3</c:v>
                </c:pt>
                <c:pt idx="30">
                  <c:v>4.8750749367991713E-3</c:v>
                </c:pt>
                <c:pt idx="31">
                  <c:v>5.5614145607643566E-3</c:v>
                </c:pt>
                <c:pt idx="32">
                  <c:v>6.0885712038193669E-3</c:v>
                </c:pt>
                <c:pt idx="33">
                  <c:v>6.3969307967539331E-3</c:v>
                </c:pt>
                <c:pt idx="34">
                  <c:v>6.4499159802852649E-3</c:v>
                </c:pt>
                <c:pt idx="35">
                  <c:v>6.241121004853409E-3</c:v>
                </c:pt>
                <c:pt idx="36">
                  <c:v>5.7955851162249947E-3</c:v>
                </c:pt>
                <c:pt idx="37">
                  <c:v>5.1648547617482521E-3</c:v>
                </c:pt>
                <c:pt idx="38">
                  <c:v>4.4171798021036997E-3</c:v>
                </c:pt>
                <c:pt idx="39">
                  <c:v>3.6254187859599105E-3</c:v>
                </c:pt>
                <c:pt idx="40">
                  <c:v>2.8556003255598436E-3</c:v>
                </c:pt>
                <c:pt idx="41">
                  <c:v>2.1585534320730237E-3</c:v>
                </c:pt>
                <c:pt idx="42">
                  <c:v>1.5658650213322906E-3</c:v>
                </c:pt>
                <c:pt idx="43">
                  <c:v>1.0901141596441051E-3</c:v>
                </c:pt>
                <c:pt idx="44">
                  <c:v>7.2830916865271203E-4</c:v>
                </c:pt>
                <c:pt idx="45">
                  <c:v>4.6696648580099869E-4</c:v>
                </c:pt>
                <c:pt idx="46">
                  <c:v>2.8733053793354398E-4</c:v>
                </c:pt>
                <c:pt idx="47">
                  <c:v>1.696695851695716E-4</c:v>
                </c:pt>
                <c:pt idx="48">
                  <c:v>9.6150677475540923E-5</c:v>
                </c:pt>
                <c:pt idx="49">
                  <c:v>5.2290986810264954E-5</c:v>
                </c:pt>
                <c:pt idx="50">
                  <c:v>2.7291503719598344E-5</c:v>
                </c:pt>
              </c:numCache>
            </c:numRef>
          </c:val>
        </c:ser>
        <c:ser>
          <c:idx val="48"/>
          <c:order val="48"/>
          <c:tx>
            <c:strRef>
              <c:f>'Mixture of 2 Gaussian dist.'!$B$198</c:f>
              <c:strCache>
                <c:ptCount val="1"/>
                <c:pt idx="0">
                  <c:v>6.187101496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dist.'!$C$198:$BA$198</c:f>
              <c:numCache>
                <c:formatCode>General</c:formatCode>
                <c:ptCount val="51"/>
                <c:pt idx="0">
                  <c:v>4.6891327276805894E-13</c:v>
                </c:pt>
                <c:pt idx="1">
                  <c:v>1.5476751082204637E-12</c:v>
                </c:pt>
                <c:pt idx="2">
                  <c:v>5.2513145667683679E-12</c:v>
                </c:pt>
                <c:pt idx="3">
                  <c:v>1.7851540886038874E-11</c:v>
                </c:pt>
                <c:pt idx="4">
                  <c:v>5.970519386445574E-11</c:v>
                </c:pt>
                <c:pt idx="5">
                  <c:v>1.9429067608157152E-10</c:v>
                </c:pt>
                <c:pt idx="6">
                  <c:v>6.1130599453372716E-10</c:v>
                </c:pt>
                <c:pt idx="7">
                  <c:v>1.8532600316204481E-9</c:v>
                </c:pt>
                <c:pt idx="8">
                  <c:v>5.4035621297094376E-9</c:v>
                </c:pt>
                <c:pt idx="9">
                  <c:v>1.5137658677568859E-8</c:v>
                </c:pt>
                <c:pt idx="10">
                  <c:v>4.0723067175479523E-8</c:v>
                </c:pt>
                <c:pt idx="11">
                  <c:v>1.0517209119891103E-7</c:v>
                </c:pt>
                <c:pt idx="12">
                  <c:v>2.6071792886512067E-7</c:v>
                </c:pt>
                <c:pt idx="13">
                  <c:v>6.2031811324165445E-7</c:v>
                </c:pt>
                <c:pt idx="14">
                  <c:v>1.4164807383934321E-6</c:v>
                </c:pt>
                <c:pt idx="15">
                  <c:v>3.1041885598549683E-6</c:v>
                </c:pt>
                <c:pt idx="16">
                  <c:v>6.5286036087293267E-6</c:v>
                </c:pt>
                <c:pt idx="17">
                  <c:v>1.3177215622395694E-5</c:v>
                </c:pt>
                <c:pt idx="18">
                  <c:v>2.5524430892130151E-5</c:v>
                </c:pt>
                <c:pt idx="19">
                  <c:v>4.7447828951536985E-5</c:v>
                </c:pt>
                <c:pt idx="20">
                  <c:v>8.4645482974427298E-5</c:v>
                </c:pt>
                <c:pt idx="21">
                  <c:v>1.4491654901435631E-4</c:v>
                </c:pt>
                <c:pt idx="22">
                  <c:v>2.380996136285167E-4</c:v>
                </c:pt>
                <c:pt idx="23">
                  <c:v>3.7542722577819042E-4</c:v>
                </c:pt>
                <c:pt idx="24">
                  <c:v>5.6809257975812938E-4</c:v>
                </c:pt>
                <c:pt idx="25">
                  <c:v>8.2497102435822342E-4</c:v>
                </c:pt>
                <c:pt idx="26">
                  <c:v>1.1496998284996314E-3</c:v>
                </c:pt>
                <c:pt idx="27">
                  <c:v>1.5376461717931153E-3</c:v>
                </c:pt>
                <c:pt idx="28">
                  <c:v>1.973579006160334E-3</c:v>
                </c:pt>
                <c:pt idx="29">
                  <c:v>2.4309653848952309E-3</c:v>
                </c:pt>
                <c:pt idx="30">
                  <c:v>2.8736189620224631E-3</c:v>
                </c:pt>
                <c:pt idx="31">
                  <c:v>3.2599109084713706E-3</c:v>
                </c:pt>
                <c:pt idx="32">
                  <c:v>3.5490198152612925E-3</c:v>
                </c:pt>
                <c:pt idx="33">
                  <c:v>3.7079789350057692E-3</c:v>
                </c:pt>
                <c:pt idx="34">
                  <c:v>3.7178531576114704E-3</c:v>
                </c:pt>
                <c:pt idx="35">
                  <c:v>3.5774481394676583E-3</c:v>
                </c:pt>
                <c:pt idx="36">
                  <c:v>3.3035478379675942E-3</c:v>
                </c:pt>
                <c:pt idx="37">
                  <c:v>2.9276151948774186E-3</c:v>
                </c:pt>
                <c:pt idx="38">
                  <c:v>2.4898519486681106E-3</c:v>
                </c:pt>
                <c:pt idx="39">
                  <c:v>2.0321660609523948E-3</c:v>
                </c:pt>
                <c:pt idx="40">
                  <c:v>1.5917358679893548E-3</c:v>
                </c:pt>
                <c:pt idx="41">
                  <c:v>1.1964896607955999E-3</c:v>
                </c:pt>
                <c:pt idx="42">
                  <c:v>8.6312368857575244E-4</c:v>
                </c:pt>
                <c:pt idx="43">
                  <c:v>5.9753487870920624E-4</c:v>
                </c:pt>
                <c:pt idx="44">
                  <c:v>3.9699005153820378E-4</c:v>
                </c:pt>
                <c:pt idx="45">
                  <c:v>2.5311747247120948E-4</c:v>
                </c:pt>
                <c:pt idx="46">
                  <c:v>1.548783685386338E-4</c:v>
                </c:pt>
                <c:pt idx="47">
                  <c:v>9.094640649787172E-5</c:v>
                </c:pt>
                <c:pt idx="48">
                  <c:v>5.1251485863634022E-5</c:v>
                </c:pt>
                <c:pt idx="49">
                  <c:v>2.7717465545648959E-5</c:v>
                </c:pt>
                <c:pt idx="50">
                  <c:v>1.4385557934196762E-5</c:v>
                </c:pt>
              </c:numCache>
            </c:numRef>
          </c:val>
        </c:ser>
        <c:ser>
          <c:idx val="49"/>
          <c:order val="49"/>
          <c:tx>
            <c:strRef>
              <c:f>'Mixture of 2 Gaussian dist.'!$B$199</c:f>
              <c:strCache>
                <c:ptCount val="1"/>
                <c:pt idx="0">
                  <c:v>6.378288164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dist.'!$C$199:$BA$199</c:f>
              <c:numCache>
                <c:formatCode>General</c:formatCode>
                <c:ptCount val="51"/>
                <c:pt idx="0">
                  <c:v>2.518003995533227E-13</c:v>
                </c:pt>
                <c:pt idx="1">
                  <c:v>9.0169679308068896E-13</c:v>
                </c:pt>
                <c:pt idx="2">
                  <c:v>3.2109600030114248E-12</c:v>
                </c:pt>
                <c:pt idx="3">
                  <c:v>1.1196228994297393E-11</c:v>
                </c:pt>
                <c:pt idx="4">
                  <c:v>3.7880271573176405E-11</c:v>
                </c:pt>
                <c:pt idx="5">
                  <c:v>1.2372467334010802E-10</c:v>
                </c:pt>
                <c:pt idx="6">
                  <c:v>3.8905332775208024E-10</c:v>
                </c:pt>
                <c:pt idx="7">
                  <c:v>1.1760691265475457E-9</c:v>
                </c:pt>
                <c:pt idx="8">
                  <c:v>3.4149617054593508E-9</c:v>
                </c:pt>
                <c:pt idx="9">
                  <c:v>9.5210480140235256E-9</c:v>
                </c:pt>
                <c:pt idx="10">
                  <c:v>2.5481830033644273E-8</c:v>
                </c:pt>
                <c:pt idx="11">
                  <c:v>6.5459032381622225E-8</c:v>
                </c:pt>
                <c:pt idx="12">
                  <c:v>1.6138833470687865E-7</c:v>
                </c:pt>
                <c:pt idx="13">
                  <c:v>3.8187565560639209E-7</c:v>
                </c:pt>
                <c:pt idx="14">
                  <c:v>8.6718144988574466E-7</c:v>
                </c:pt>
                <c:pt idx="15">
                  <c:v>1.8898661161136301E-6</c:v>
                </c:pt>
                <c:pt idx="16">
                  <c:v>3.9525943502923662E-6</c:v>
                </c:pt>
                <c:pt idx="17">
                  <c:v>7.9334472177968816E-6</c:v>
                </c:pt>
                <c:pt idx="18">
                  <c:v>1.5281611376378842E-5</c:v>
                </c:pt>
                <c:pt idx="19">
                  <c:v>2.824901627011379E-5</c:v>
                </c:pt>
                <c:pt idx="20">
                  <c:v>5.011458528542775E-5</c:v>
                </c:pt>
                <c:pt idx="21">
                  <c:v>8.5320107106745066E-5</c:v>
                </c:pt>
                <c:pt idx="22">
                  <c:v>1.3940070354919116E-4</c:v>
                </c:pt>
                <c:pt idx="23">
                  <c:v>2.1857716631351484E-4</c:v>
                </c:pt>
                <c:pt idx="24">
                  <c:v>3.2890526557173512E-4</c:v>
                </c:pt>
                <c:pt idx="25">
                  <c:v>4.7496657094587256E-4</c:v>
                </c:pt>
                <c:pt idx="26">
                  <c:v>6.5823569369576496E-4</c:v>
                </c:pt>
                <c:pt idx="27">
                  <c:v>8.7543916069967795E-4</c:v>
                </c:pt>
                <c:pt idx="28">
                  <c:v>1.1173691100605011E-3</c:v>
                </c:pt>
                <c:pt idx="29">
                  <c:v>1.3686534554741793E-3</c:v>
                </c:pt>
                <c:pt idx="30">
                  <c:v>1.6088534230889351E-3</c:v>
                </c:pt>
                <c:pt idx="31">
                  <c:v>1.8149539121286959E-3</c:v>
                </c:pt>
                <c:pt idx="32">
                  <c:v>1.9649018628318227E-3</c:v>
                </c:pt>
                <c:pt idx="33">
                  <c:v>2.0414665459902578E-3</c:v>
                </c:pt>
                <c:pt idx="34">
                  <c:v>2.0354939221981232E-3</c:v>
                </c:pt>
                <c:pt idx="35">
                  <c:v>1.9477064014653488E-3</c:v>
                </c:pt>
                <c:pt idx="36">
                  <c:v>1.7885591700645552E-3</c:v>
                </c:pt>
                <c:pt idx="37">
                  <c:v>1.576192554661835E-3</c:v>
                </c:pt>
                <c:pt idx="38">
                  <c:v>1.3330344399624175E-3</c:v>
                </c:pt>
                <c:pt idx="39">
                  <c:v>1.0819311048881502E-3</c:v>
                </c:pt>
                <c:pt idx="40">
                  <c:v>8.4272132156115471E-4</c:v>
                </c:pt>
                <c:pt idx="41">
                  <c:v>6.2993319712792591E-4</c:v>
                </c:pt>
                <c:pt idx="42">
                  <c:v>4.5188835360226044E-4</c:v>
                </c:pt>
                <c:pt idx="43">
                  <c:v>3.1109565075162772E-4</c:v>
                </c:pt>
                <c:pt idx="44">
                  <c:v>2.0553361888847577E-4</c:v>
                </c:pt>
                <c:pt idx="45">
                  <c:v>1.3031605883424385E-4</c:v>
                </c:pt>
                <c:pt idx="46">
                  <c:v>7.929378402933828E-5</c:v>
                </c:pt>
                <c:pt idx="47">
                  <c:v>4.6302718368832862E-5</c:v>
                </c:pt>
                <c:pt idx="48">
                  <c:v>2.5947765960220842E-5</c:v>
                </c:pt>
                <c:pt idx="49">
                  <c:v>1.3954670749273953E-5</c:v>
                </c:pt>
                <c:pt idx="50">
                  <c:v>7.2022029399239258E-6</c:v>
                </c:pt>
              </c:numCache>
            </c:numRef>
          </c:val>
        </c:ser>
        <c:ser>
          <c:idx val="50"/>
          <c:order val="50"/>
          <c:tx>
            <c:strRef>
              <c:f>'Mixture of 2 Gaussian dist.'!$B$200</c:f>
              <c:strCache>
                <c:ptCount val="1"/>
                <c:pt idx="0">
                  <c:v>6.569474832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dist.'!$C$200:$BA$200</c:f>
              <c:numCache>
                <c:formatCode>General</c:formatCode>
                <c:ptCount val="51"/>
                <c:pt idx="0">
                  <c:v>1.4341017150105402E-13</c:v>
                </c:pt>
                <c:pt idx="1">
                  <c:v>5.3385009220025819E-13</c:v>
                </c:pt>
                <c:pt idx="2">
                  <c:v>1.9382969327786459E-12</c:v>
                </c:pt>
                <c:pt idx="3">
                  <c:v>6.8133540251640953E-12</c:v>
                </c:pt>
                <c:pt idx="4">
                  <c:v>2.3092699435585868E-11</c:v>
                </c:pt>
                <c:pt idx="5">
                  <c:v>7.5302988028712286E-11</c:v>
                </c:pt>
                <c:pt idx="6">
                  <c:v>2.3597533796180709E-10</c:v>
                </c:pt>
                <c:pt idx="7">
                  <c:v>7.1017784400616166E-10</c:v>
                </c:pt>
                <c:pt idx="8">
                  <c:v>2.0519575427631991E-9</c:v>
                </c:pt>
                <c:pt idx="9">
                  <c:v>5.691042730523986E-9</c:v>
                </c:pt>
                <c:pt idx="10">
                  <c:v>1.5149377841546129E-8</c:v>
                </c:pt>
                <c:pt idx="11">
                  <c:v>3.8703813465930891E-8</c:v>
                </c:pt>
                <c:pt idx="12">
                  <c:v>9.4897710970661112E-8</c:v>
                </c:pt>
                <c:pt idx="13">
                  <c:v>2.233024458046003E-7</c:v>
                </c:pt>
                <c:pt idx="14">
                  <c:v>5.0426973056187378E-7</c:v>
                </c:pt>
                <c:pt idx="15">
                  <c:v>1.0928528123115591E-6</c:v>
                </c:pt>
                <c:pt idx="16">
                  <c:v>2.2729426150024767E-6</c:v>
                </c:pt>
                <c:pt idx="17">
                  <c:v>4.5367256894010316E-6</c:v>
                </c:pt>
                <c:pt idx="18">
                  <c:v>8.6900719684384293E-6</c:v>
                </c:pt>
                <c:pt idx="19">
                  <c:v>1.5974628387563697E-5</c:v>
                </c:pt>
                <c:pt idx="20">
                  <c:v>2.8181527976615576E-5</c:v>
                </c:pt>
                <c:pt idx="21">
                  <c:v>4.771166760475926E-5</c:v>
                </c:pt>
                <c:pt idx="22">
                  <c:v>7.7519486348772413E-5</c:v>
                </c:pt>
                <c:pt idx="23">
                  <c:v>1.208713499301171E-4</c:v>
                </c:pt>
                <c:pt idx="24">
                  <c:v>1.8086812364832375E-4</c:v>
                </c:pt>
                <c:pt idx="25">
                  <c:v>2.5973283463375229E-4</c:v>
                </c:pt>
                <c:pt idx="26">
                  <c:v>3.5794626124027739E-4</c:v>
                </c:pt>
                <c:pt idx="27">
                  <c:v>4.7340730357048599E-4</c:v>
                </c:pt>
                <c:pt idx="28">
                  <c:v>6.0086681841591276E-4</c:v>
                </c:pt>
                <c:pt idx="29">
                  <c:v>7.3189306513029347E-4</c:v>
                </c:pt>
                <c:pt idx="30">
                  <c:v>8.5554564263227539E-4</c:v>
                </c:pt>
                <c:pt idx="31">
                  <c:v>9.5976492766068568E-4</c:v>
                </c:pt>
                <c:pt idx="32">
                  <c:v>1.033267351839615E-3</c:v>
                </c:pt>
                <c:pt idx="33">
                  <c:v>1.0675461977668922E-3</c:v>
                </c:pt>
                <c:pt idx="34">
                  <c:v>1.0584900696751884E-3</c:v>
                </c:pt>
                <c:pt idx="35">
                  <c:v>1.007193783942569E-3</c:v>
                </c:pt>
                <c:pt idx="36">
                  <c:v>9.1974074064772907E-4</c:v>
                </c:pt>
                <c:pt idx="37">
                  <c:v>8.0601653374303014E-4</c:v>
                </c:pt>
                <c:pt idx="38">
                  <c:v>6.7787343588583931E-4</c:v>
                </c:pt>
                <c:pt idx="39">
                  <c:v>5.4711600399844117E-4</c:v>
                </c:pt>
                <c:pt idx="40">
                  <c:v>4.2377600324627478E-4</c:v>
                </c:pt>
                <c:pt idx="41">
                  <c:v>3.1500644620774854E-4</c:v>
                </c:pt>
                <c:pt idx="42">
                  <c:v>2.2471323924821339E-4</c:v>
                </c:pt>
                <c:pt idx="43">
                  <c:v>1.5383813903236681E-4</c:v>
                </c:pt>
                <c:pt idx="44">
                  <c:v>1.0107075586611439E-4</c:v>
                </c:pt>
                <c:pt idx="45">
                  <c:v>6.3725484798553126E-5</c:v>
                </c:pt>
                <c:pt idx="46">
                  <c:v>3.8559102884560966E-5</c:v>
                </c:pt>
                <c:pt idx="47">
                  <c:v>2.2390656763663826E-5</c:v>
                </c:pt>
                <c:pt idx="48">
                  <c:v>1.2477652384767763E-5</c:v>
                </c:pt>
                <c:pt idx="49">
                  <c:v>6.6730606312428559E-6</c:v>
                </c:pt>
                <c:pt idx="50">
                  <c:v>3.4248645302817235E-6</c:v>
                </c:pt>
              </c:numCache>
            </c:numRef>
          </c:val>
        </c:ser>
        <c:bandFmts/>
        <c:axId val="49241088"/>
        <c:axId val="49259648"/>
        <c:axId val="49244352"/>
      </c:surface3DChart>
      <c:catAx>
        <c:axId val="49241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  <c:overlay val="0"/>
        </c:title>
        <c:numFmt formatCode="#,##0.00" sourceLinked="0"/>
        <c:majorTickMark val="none"/>
        <c:minorTickMark val="none"/>
        <c:tickLblPos val="nextTo"/>
        <c:crossAx val="49259648"/>
        <c:crosses val="autoZero"/>
        <c:auto val="1"/>
        <c:lblAlgn val="ctr"/>
        <c:lblOffset val="100"/>
        <c:noMultiLvlLbl val="0"/>
      </c:catAx>
      <c:valAx>
        <c:axId val="49259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49241088"/>
        <c:crosses val="autoZero"/>
        <c:crossBetween val="midCat"/>
      </c:valAx>
      <c:serAx>
        <c:axId val="49244352"/>
        <c:scaling>
          <c:orientation val="minMax"/>
        </c:scaling>
        <c:delete val="0"/>
        <c:axPos val="b"/>
        <c:majorTickMark val="none"/>
        <c:minorTickMark val="none"/>
        <c:tickLblPos val="nextTo"/>
        <c:crossAx val="49259648"/>
        <c:crosses val="autoZero"/>
      </c:ser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Contours</a:t>
            </a:r>
          </a:p>
        </c:rich>
      </c:tx>
      <c:layout/>
      <c:overlay val="0"/>
    </c:title>
    <c:autoTitleDeleted val="0"/>
    <c:view3D>
      <c:rotX val="9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surfaceChart>
        <c:wireframe val="0"/>
        <c:ser>
          <c:idx val="0"/>
          <c:order val="0"/>
          <c:tx>
            <c:strRef>
              <c:f>'Mixture of 2 Gaussian dist.'!$B$150</c:f>
              <c:strCache>
                <c:ptCount val="1"/>
                <c:pt idx="0">
                  <c:v>-2.989858564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dist.'!$C$150:$BA$150</c:f>
              <c:numCache>
                <c:formatCode>General</c:formatCode>
                <c:ptCount val="51"/>
                <c:pt idx="0">
                  <c:v>3.2619406978473329E-5</c:v>
                </c:pt>
                <c:pt idx="1">
                  <c:v>5.0354076243934966E-5</c:v>
                </c:pt>
                <c:pt idx="2">
                  <c:v>7.5323895317901858E-5</c:v>
                </c:pt>
                <c:pt idx="3">
                  <c:v>1.0918688476940906E-4</c:v>
                </c:pt>
                <c:pt idx="4">
                  <c:v>1.5337258784346648E-4</c:v>
                </c:pt>
                <c:pt idx="5">
                  <c:v>2.0876831298976517E-4</c:v>
                </c:pt>
                <c:pt idx="6">
                  <c:v>2.7537276432085489E-4</c:v>
                </c:pt>
                <c:pt idx="7">
                  <c:v>3.519791618792241E-4</c:v>
                </c:pt>
                <c:pt idx="8">
                  <c:v>4.3596586606515597E-4</c:v>
                </c:pt>
                <c:pt idx="9">
                  <c:v>5.2327211065948318E-4</c:v>
                </c:pt>
                <c:pt idx="10">
                  <c:v>6.0861444428027939E-4</c:v>
                </c:pt>
                <c:pt idx="11">
                  <c:v>6.859563619281045E-4</c:v>
                </c:pt>
                <c:pt idx="12">
                  <c:v>7.4918709433121819E-4</c:v>
                </c:pt>
                <c:pt idx="13">
                  <c:v>7.9290955761835639E-4</c:v>
                </c:pt>
                <c:pt idx="14">
                  <c:v>8.1319852872395926E-4</c:v>
                </c:pt>
                <c:pt idx="15">
                  <c:v>8.0818182924222485E-4</c:v>
                </c:pt>
                <c:pt idx="16">
                  <c:v>7.7832529585992213E-4</c:v>
                </c:pt>
                <c:pt idx="17">
                  <c:v>7.2636143036611473E-4</c:v>
                </c:pt>
                <c:pt idx="18">
                  <c:v>6.5687687204217884E-4</c:v>
                </c:pt>
                <c:pt idx="19">
                  <c:v>5.7564499511699417E-4</c:v>
                </c:pt>
                <c:pt idx="20">
                  <c:v>4.8883811552364264E-4</c:v>
                </c:pt>
                <c:pt idx="21">
                  <c:v>4.0226750834322059E-4</c:v>
                </c:pt>
                <c:pt idx="22">
                  <c:v>3.2077788221952113E-4</c:v>
                </c:pt>
                <c:pt idx="23">
                  <c:v>2.4787540815754183E-4</c:v>
                </c:pt>
                <c:pt idx="24">
                  <c:v>1.8561028386963958E-4</c:v>
                </c:pt>
                <c:pt idx="25">
                  <c:v>1.3468219745950256E-4</c:v>
                </c:pt>
                <c:pt idx="26">
                  <c:v>9.4701731266233331E-5</c:v>
                </c:pt>
                <c:pt idx="27">
                  <c:v>6.4527554975266915E-5</c:v>
                </c:pt>
                <c:pt idx="28">
                  <c:v>4.2606127883354769E-5</c:v>
                </c:pt>
                <c:pt idx="29">
                  <c:v>2.7260793297628813E-5</c:v>
                </c:pt>
                <c:pt idx="30">
                  <c:v>1.6902248368502436E-5</c:v>
                </c:pt>
                <c:pt idx="31">
                  <c:v>1.0155236328073861E-5</c:v>
                </c:pt>
                <c:pt idx="32">
                  <c:v>5.9125544888689957E-6</c:v>
                </c:pt>
                <c:pt idx="33">
                  <c:v>3.3357987670210574E-6</c:v>
                </c:pt>
                <c:pt idx="34">
                  <c:v>1.8237449302925107E-6</c:v>
                </c:pt>
                <c:pt idx="35">
                  <c:v>9.6620196765269288E-7</c:v>
                </c:pt>
                <c:pt idx="36">
                  <c:v>4.9603383784146532E-7</c:v>
                </c:pt>
                <c:pt idx="37">
                  <c:v>2.4677107668798495E-7</c:v>
                </c:pt>
                <c:pt idx="38">
                  <c:v>1.1896433315141742E-7</c:v>
                </c:pt>
                <c:pt idx="39">
                  <c:v>5.5574921707883259E-8</c:v>
                </c:pt>
                <c:pt idx="40">
                  <c:v>2.5158254810450714E-8</c:v>
                </c:pt>
                <c:pt idx="41">
                  <c:v>1.1036255118140389E-8</c:v>
                </c:pt>
                <c:pt idx="42">
                  <c:v>4.6914006194479608E-9</c:v>
                </c:pt>
                <c:pt idx="43">
                  <c:v>1.9325150495733923E-9</c:v>
                </c:pt>
                <c:pt idx="44">
                  <c:v>7.7140567939600897E-10</c:v>
                </c:pt>
                <c:pt idx="45">
                  <c:v>2.9838870672804483E-10</c:v>
                </c:pt>
                <c:pt idx="46">
                  <c:v>1.118462880967974E-10</c:v>
                </c:pt>
                <c:pt idx="47">
                  <c:v>4.0625666135560038E-11</c:v>
                </c:pt>
                <c:pt idx="48">
                  <c:v>1.4299449233975838E-11</c:v>
                </c:pt>
                <c:pt idx="49">
                  <c:v>4.8772875618451108E-12</c:v>
                </c:pt>
                <c:pt idx="50">
                  <c:v>1.6120493461012876E-12</c:v>
                </c:pt>
              </c:numCache>
            </c:numRef>
          </c:val>
        </c:ser>
        <c:ser>
          <c:idx val="1"/>
          <c:order val="1"/>
          <c:tx>
            <c:strRef>
              <c:f>'Mixture of 2 Gaussian dist.'!$B$151</c:f>
              <c:strCache>
                <c:ptCount val="1"/>
                <c:pt idx="0">
                  <c:v>-2.798671896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dist.'!$C$151:$BA$151</c:f>
              <c:numCache>
                <c:formatCode>General</c:formatCode>
                <c:ptCount val="51"/>
                <c:pt idx="0">
                  <c:v>5.2160588856953144E-5</c:v>
                </c:pt>
                <c:pt idx="1">
                  <c:v>8.0977237627209367E-5</c:v>
                </c:pt>
                <c:pt idx="2">
                  <c:v>1.2182123436543988E-4</c:v>
                </c:pt>
                <c:pt idx="3">
                  <c:v>1.7759167358009603E-4</c:v>
                </c:pt>
                <c:pt idx="4">
                  <c:v>2.5087753293165252E-4</c:v>
                </c:pt>
                <c:pt idx="5">
                  <c:v>3.4343180050641978E-4</c:v>
                </c:pt>
                <c:pt idx="6">
                  <c:v>4.5557387282372754E-4</c:v>
                </c:pt>
                <c:pt idx="7">
                  <c:v>5.856210487618621E-4</c:v>
                </c:pt>
                <c:pt idx="8">
                  <c:v>7.2948121509531681E-4</c:v>
                </c:pt>
                <c:pt idx="9">
                  <c:v>8.8054410466057982E-4</c:v>
                </c:pt>
                <c:pt idx="10">
                  <c:v>1.0299773654002312E-3</c:v>
                </c:pt>
                <c:pt idx="11">
                  <c:v>1.1674648508068408E-3</c:v>
                </c:pt>
                <c:pt idx="12">
                  <c:v>1.2823291456053594E-3</c:v>
                </c:pt>
                <c:pt idx="13">
                  <c:v>1.3648809703492297E-3</c:v>
                </c:pt>
                <c:pt idx="14">
                  <c:v>1.4077632065781932E-3</c:v>
                </c:pt>
                <c:pt idx="15">
                  <c:v>1.4070321077097011E-3</c:v>
                </c:pt>
                <c:pt idx="16">
                  <c:v>1.3627555884790678E-3</c:v>
                </c:pt>
                <c:pt idx="17">
                  <c:v>1.2790028186770949E-3</c:v>
                </c:pt>
                <c:pt idx="18">
                  <c:v>1.1632273305931589E-3</c:v>
                </c:pt>
                <c:pt idx="19">
                  <c:v>1.0251732362617984E-3</c:v>
                </c:pt>
                <c:pt idx="20">
                  <c:v>8.7552688778143534E-4</c:v>
                </c:pt>
                <c:pt idx="21">
                  <c:v>7.2457155786288287E-4</c:v>
                </c:pt>
                <c:pt idx="22">
                  <c:v>5.8107560471634787E-4</c:v>
                </c:pt>
                <c:pt idx="23">
                  <c:v>4.5156842738956955E-4</c:v>
                </c:pt>
                <c:pt idx="24">
                  <c:v>3.4005883464212057E-4</c:v>
                </c:pt>
                <c:pt idx="25">
                  <c:v>2.481556233675226E-4</c:v>
                </c:pt>
                <c:pt idx="26">
                  <c:v>1.7548247296209069E-4</c:v>
                </c:pt>
                <c:pt idx="27">
                  <c:v>1.2024940526558614E-4</c:v>
                </c:pt>
                <c:pt idx="28">
                  <c:v>7.9849406834885564E-5</c:v>
                </c:pt>
                <c:pt idx="29">
                  <c:v>5.1380700110020385E-5</c:v>
                </c:pt>
                <c:pt idx="30">
                  <c:v>3.2038185166744399E-5</c:v>
                </c:pt>
                <c:pt idx="31">
                  <c:v>1.935866313650948E-5</c:v>
                </c:pt>
                <c:pt idx="32">
                  <c:v>1.1335022442946052E-5</c:v>
                </c:pt>
                <c:pt idx="33">
                  <c:v>6.4314511035417491E-6</c:v>
                </c:pt>
                <c:pt idx="34">
                  <c:v>3.5361862093673408E-6</c:v>
                </c:pt>
                <c:pt idx="35">
                  <c:v>1.8840865369096166E-6</c:v>
                </c:pt>
                <c:pt idx="36">
                  <c:v>9.7276095983603419E-7</c:v>
                </c:pt>
                <c:pt idx="37">
                  <c:v>4.8668838890593398E-7</c:v>
                </c:pt>
                <c:pt idx="38">
                  <c:v>2.3595837930549773E-7</c:v>
                </c:pt>
                <c:pt idx="39">
                  <c:v>1.108560477455286E-7</c:v>
                </c:pt>
                <c:pt idx="40">
                  <c:v>5.0468796209685065E-8</c:v>
                </c:pt>
                <c:pt idx="41">
                  <c:v>2.2265172915572107E-8</c:v>
                </c:pt>
                <c:pt idx="42">
                  <c:v>9.5185057357470423E-9</c:v>
                </c:pt>
                <c:pt idx="43">
                  <c:v>3.9432205612034675E-9</c:v>
                </c:pt>
                <c:pt idx="44">
                  <c:v>1.5829710790322039E-9</c:v>
                </c:pt>
                <c:pt idx="45">
                  <c:v>6.1579273868842315E-10</c:v>
                </c:pt>
                <c:pt idx="46">
                  <c:v>2.3213249180406435E-10</c:v>
                </c:pt>
                <c:pt idx="47">
                  <c:v>8.4796381918208031E-11</c:v>
                </c:pt>
                <c:pt idx="48">
                  <c:v>3.0016441043260858E-11</c:v>
                </c:pt>
                <c:pt idx="49">
                  <c:v>1.0296330936056492E-11</c:v>
                </c:pt>
                <c:pt idx="50">
                  <c:v>3.4225440415797719E-12</c:v>
                </c:pt>
              </c:numCache>
            </c:numRef>
          </c:val>
        </c:ser>
        <c:ser>
          <c:idx val="2"/>
          <c:order val="2"/>
          <c:tx>
            <c:strRef>
              <c:f>'Mixture of 2 Gaussian dist.'!$B$152</c:f>
              <c:strCache>
                <c:ptCount val="1"/>
                <c:pt idx="0">
                  <c:v>-2.607485229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dist.'!$C$152:$BA$152</c:f>
              <c:numCache>
                <c:formatCode>General</c:formatCode>
                <c:ptCount val="51"/>
                <c:pt idx="0">
                  <c:v>8.0378931622228291E-5</c:v>
                </c:pt>
                <c:pt idx="1">
                  <c:v>1.2549447367073363E-4</c:v>
                </c:pt>
                <c:pt idx="2">
                  <c:v>1.8986571088407906E-4</c:v>
                </c:pt>
                <c:pt idx="3">
                  <c:v>2.7836077952033702E-4</c:v>
                </c:pt>
                <c:pt idx="4">
                  <c:v>3.9546596658462984E-4</c:v>
                </c:pt>
                <c:pt idx="5">
                  <c:v>5.4443965619424583E-4</c:v>
                </c:pt>
                <c:pt idx="6">
                  <c:v>7.2632326233951032E-4</c:v>
                </c:pt>
                <c:pt idx="7">
                  <c:v>9.3896568835059662E-4</c:v>
                </c:pt>
                <c:pt idx="8">
                  <c:v>1.1762755164975618E-3</c:v>
                </c:pt>
                <c:pt idx="9">
                  <c:v>1.4279334214518313E-3</c:v>
                </c:pt>
                <c:pt idx="10">
                  <c:v>1.6797568691618184E-3</c:v>
                </c:pt>
                <c:pt idx="11">
                  <c:v>1.9148045864487723E-3</c:v>
                </c:pt>
                <c:pt idx="12">
                  <c:v>2.1151543191418928E-3</c:v>
                </c:pt>
                <c:pt idx="13">
                  <c:v>2.2641188685216694E-3</c:v>
                </c:pt>
                <c:pt idx="14">
                  <c:v>2.3485291534774454E-3</c:v>
                </c:pt>
                <c:pt idx="15">
                  <c:v>2.3606535436813516E-3</c:v>
                </c:pt>
                <c:pt idx="16">
                  <c:v>2.299366063769044E-3</c:v>
                </c:pt>
                <c:pt idx="17">
                  <c:v>2.1703188746161487E-3</c:v>
                </c:pt>
                <c:pt idx="18">
                  <c:v>1.9850824211289976E-3</c:v>
                </c:pt>
                <c:pt idx="19">
                  <c:v>1.7594345086383912E-3</c:v>
                </c:pt>
                <c:pt idx="20">
                  <c:v>1.5111488122076487E-3</c:v>
                </c:pt>
                <c:pt idx="21">
                  <c:v>1.2577112007484646E-3</c:v>
                </c:pt>
                <c:pt idx="22">
                  <c:v>1.0143648446235142E-3</c:v>
                </c:pt>
                <c:pt idx="23">
                  <c:v>7.9276965087168329E-4</c:v>
                </c:pt>
                <c:pt idx="24">
                  <c:v>6.0039823768156207E-4</c:v>
                </c:pt>
                <c:pt idx="25">
                  <c:v>4.4062726600854562E-4</c:v>
                </c:pt>
                <c:pt idx="26">
                  <c:v>3.1335951969677106E-4</c:v>
                </c:pt>
                <c:pt idx="27">
                  <c:v>2.1595038571237438E-4</c:v>
                </c:pt>
                <c:pt idx="28">
                  <c:v>1.4421307638594924E-4</c:v>
                </c:pt>
                <c:pt idx="29">
                  <c:v>9.3324326598665148E-5</c:v>
                </c:pt>
                <c:pt idx="30">
                  <c:v>5.8522740417659204E-5</c:v>
                </c:pt>
                <c:pt idx="31">
                  <c:v>3.5562641367439663E-5</c:v>
                </c:pt>
                <c:pt idx="32">
                  <c:v>2.0941265934481669E-5</c:v>
                </c:pt>
                <c:pt idx="33">
                  <c:v>1.1949546399514088E-5</c:v>
                </c:pt>
                <c:pt idx="34">
                  <c:v>6.6075350277515359E-6</c:v>
                </c:pt>
                <c:pt idx="35">
                  <c:v>3.5405203462836478E-6</c:v>
                </c:pt>
                <c:pt idx="36">
                  <c:v>1.8383757445161628E-6</c:v>
                </c:pt>
                <c:pt idx="37">
                  <c:v>9.2499851375117702E-7</c:v>
                </c:pt>
                <c:pt idx="38">
                  <c:v>4.5101123042430678E-7</c:v>
                </c:pt>
                <c:pt idx="39">
                  <c:v>2.130949937126964E-7</c:v>
                </c:pt>
                <c:pt idx="40">
                  <c:v>9.756604732705697E-8</c:v>
                </c:pt>
                <c:pt idx="41">
                  <c:v>4.3287624787820834E-8</c:v>
                </c:pt>
                <c:pt idx="42">
                  <c:v>1.8610943962249782E-8</c:v>
                </c:pt>
                <c:pt idx="43">
                  <c:v>7.7537658608458302E-9</c:v>
                </c:pt>
                <c:pt idx="44">
                  <c:v>3.1303772326014664E-9</c:v>
                </c:pt>
                <c:pt idx="45">
                  <c:v>1.2246741173566182E-9</c:v>
                </c:pt>
                <c:pt idx="46">
                  <c:v>4.642849334524817E-10</c:v>
                </c:pt>
                <c:pt idx="47">
                  <c:v>1.705648237824615E-10</c:v>
                </c:pt>
                <c:pt idx="48">
                  <c:v>6.0720655473462836E-11</c:v>
                </c:pt>
                <c:pt idx="49">
                  <c:v>2.0947299490929071E-11</c:v>
                </c:pt>
                <c:pt idx="50">
                  <c:v>7.0027581902820197E-12</c:v>
                </c:pt>
              </c:numCache>
            </c:numRef>
          </c:val>
        </c:ser>
        <c:ser>
          <c:idx val="3"/>
          <c:order val="3"/>
          <c:tx>
            <c:strRef>
              <c:f>'Mixture of 2 Gaussian dist.'!$B$153</c:f>
              <c:strCache>
                <c:ptCount val="1"/>
                <c:pt idx="0">
                  <c:v>-2.416298561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dist.'!$C$153:$BA$153</c:f>
              <c:numCache>
                <c:formatCode>General</c:formatCode>
                <c:ptCount val="51"/>
                <c:pt idx="0">
                  <c:v>1.1936453003040839E-4</c:v>
                </c:pt>
                <c:pt idx="1">
                  <c:v>1.8742156702267104E-4</c:v>
                </c:pt>
                <c:pt idx="2">
                  <c:v>2.8516971593610786E-4</c:v>
                </c:pt>
                <c:pt idx="3">
                  <c:v>4.2046205393249424E-4</c:v>
                </c:pt>
                <c:pt idx="4">
                  <c:v>6.0074446495665841E-4</c:v>
                </c:pt>
                <c:pt idx="5">
                  <c:v>8.3174905241422455E-4</c:v>
                </c:pt>
                <c:pt idx="6">
                  <c:v>1.1159234850693618E-3</c:v>
                </c:pt>
                <c:pt idx="7">
                  <c:v>1.4508285276421174E-3</c:v>
                </c:pt>
                <c:pt idx="8">
                  <c:v>1.8278363994003741E-3</c:v>
                </c:pt>
                <c:pt idx="9">
                  <c:v>2.2315063281805733E-3</c:v>
                </c:pt>
                <c:pt idx="10">
                  <c:v>2.6399669508210852E-3</c:v>
                </c:pt>
                <c:pt idx="11">
                  <c:v>3.0264842870932462E-3</c:v>
                </c:pt>
                <c:pt idx="12">
                  <c:v>3.3621564854692558E-3</c:v>
                </c:pt>
                <c:pt idx="13">
                  <c:v>3.6194033887944452E-3</c:v>
                </c:pt>
                <c:pt idx="14">
                  <c:v>3.775683834050845E-3</c:v>
                </c:pt>
                <c:pt idx="15">
                  <c:v>3.8167509147816734E-3</c:v>
                </c:pt>
                <c:pt idx="16">
                  <c:v>3.7387943900433346E-3</c:v>
                </c:pt>
                <c:pt idx="17">
                  <c:v>3.5490238060580164E-3</c:v>
                </c:pt>
                <c:pt idx="18">
                  <c:v>3.2645686727756679E-3</c:v>
                </c:pt>
                <c:pt idx="19">
                  <c:v>2.9099281857082964E-3</c:v>
                </c:pt>
                <c:pt idx="20">
                  <c:v>2.5134965857509595E-3</c:v>
                </c:pt>
                <c:pt idx="21">
                  <c:v>2.1038457463705292E-3</c:v>
                </c:pt>
                <c:pt idx="22">
                  <c:v>1.7064322684540354E-3</c:v>
                </c:pt>
                <c:pt idx="23">
                  <c:v>1.3412316147962088E-3</c:v>
                </c:pt>
                <c:pt idx="24">
                  <c:v>1.0215463462693963E-3</c:v>
                </c:pt>
                <c:pt idx="25">
                  <c:v>7.5396629867999091E-4</c:v>
                </c:pt>
                <c:pt idx="26">
                  <c:v>5.3924404665072628E-4</c:v>
                </c:pt>
                <c:pt idx="27">
                  <c:v>3.7373033524591199E-4</c:v>
                </c:pt>
                <c:pt idx="28">
                  <c:v>2.5099837389872356E-4</c:v>
                </c:pt>
                <c:pt idx="29">
                  <c:v>1.6335146414323364E-4</c:v>
                </c:pt>
                <c:pt idx="30">
                  <c:v>1.0301838118835758E-4</c:v>
                </c:pt>
                <c:pt idx="31">
                  <c:v>6.2957282967493404E-5</c:v>
                </c:pt>
                <c:pt idx="32">
                  <c:v>3.7283510634826546E-5</c:v>
                </c:pt>
                <c:pt idx="33">
                  <c:v>2.1395733864714834E-5</c:v>
                </c:pt>
                <c:pt idx="34">
                  <c:v>1.1898087040729793E-5</c:v>
                </c:pt>
                <c:pt idx="35">
                  <c:v>6.4116035800806193E-6</c:v>
                </c:pt>
                <c:pt idx="36">
                  <c:v>3.3480794158405715E-6</c:v>
                </c:pt>
                <c:pt idx="37">
                  <c:v>1.6941989456881729E-6</c:v>
                </c:pt>
                <c:pt idx="38">
                  <c:v>8.3075436941322853E-7</c:v>
                </c:pt>
                <c:pt idx="39">
                  <c:v>3.9474845351804324E-7</c:v>
                </c:pt>
                <c:pt idx="40">
                  <c:v>1.8176398179892727E-7</c:v>
                </c:pt>
                <c:pt idx="41">
                  <c:v>8.1102609974152958E-8</c:v>
                </c:pt>
                <c:pt idx="42">
                  <c:v>3.5067232731773958E-8</c:v>
                </c:pt>
                <c:pt idx="43">
                  <c:v>1.4692913720277934E-8</c:v>
                </c:pt>
                <c:pt idx="44">
                  <c:v>5.9656029325794881E-9</c:v>
                </c:pt>
                <c:pt idx="45">
                  <c:v>2.3471517952313574E-9</c:v>
                </c:pt>
                <c:pt idx="46">
                  <c:v>8.9488927666593914E-10</c:v>
                </c:pt>
                <c:pt idx="47">
                  <c:v>3.3062863273677407E-10</c:v>
                </c:pt>
                <c:pt idx="48">
                  <c:v>1.1837447439973613E-10</c:v>
                </c:pt>
                <c:pt idx="49">
                  <c:v>4.1070383264281655E-11</c:v>
                </c:pt>
                <c:pt idx="50">
                  <c:v>1.380909855592244E-11</c:v>
                </c:pt>
              </c:numCache>
            </c:numRef>
          </c:val>
        </c:ser>
        <c:ser>
          <c:idx val="4"/>
          <c:order val="4"/>
          <c:tx>
            <c:strRef>
              <c:f>'Mixture of 2 Gaussian dist.'!$B$154</c:f>
              <c:strCache>
                <c:ptCount val="1"/>
                <c:pt idx="0">
                  <c:v>-2.225111893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dist.'!$C$154:$BA$154</c:f>
              <c:numCache>
                <c:formatCode>General</c:formatCode>
                <c:ptCount val="51"/>
                <c:pt idx="0">
                  <c:v>1.7082116322734368E-4</c:v>
                </c:pt>
                <c:pt idx="1">
                  <c:v>2.6974154908663688E-4</c:v>
                </c:pt>
                <c:pt idx="2">
                  <c:v>4.1275618120102474E-4</c:v>
                </c:pt>
                <c:pt idx="3">
                  <c:v>6.1203870887391245E-4</c:v>
                </c:pt>
                <c:pt idx="4">
                  <c:v>8.7943503081126828E-4</c:v>
                </c:pt>
                <c:pt idx="5">
                  <c:v>1.2245265273555016E-3</c:v>
                </c:pt>
                <c:pt idx="6">
                  <c:v>1.6522364571355229E-3</c:v>
                </c:pt>
                <c:pt idx="7">
                  <c:v>2.1603084771874771E-3</c:v>
                </c:pt>
                <c:pt idx="8">
                  <c:v>2.7371519346296217E-3</c:v>
                </c:pt>
                <c:pt idx="9">
                  <c:v>3.3606370134904688E-3</c:v>
                </c:pt>
                <c:pt idx="10">
                  <c:v>3.9983782259768851E-3</c:v>
                </c:pt>
                <c:pt idx="11">
                  <c:v>4.609838463911285E-3</c:v>
                </c:pt>
                <c:pt idx="12">
                  <c:v>5.1502357238009215E-3</c:v>
                </c:pt>
                <c:pt idx="13">
                  <c:v>5.5758113647491857E-3</c:v>
                </c:pt>
                <c:pt idx="14">
                  <c:v>5.8496327963117583E-3</c:v>
                </c:pt>
                <c:pt idx="15">
                  <c:v>5.9468735303537142E-3</c:v>
                </c:pt>
                <c:pt idx="16">
                  <c:v>5.8585260691579365E-3</c:v>
                </c:pt>
                <c:pt idx="17">
                  <c:v>5.59277820953249E-3</c:v>
                </c:pt>
                <c:pt idx="18">
                  <c:v>5.1737613650485069E-3</c:v>
                </c:pt>
                <c:pt idx="19">
                  <c:v>4.6379360480475846E-3</c:v>
                </c:pt>
                <c:pt idx="20">
                  <c:v>4.0288647153538561E-3</c:v>
                </c:pt>
                <c:pt idx="21">
                  <c:v>3.3914090852013769E-3</c:v>
                </c:pt>
                <c:pt idx="22">
                  <c:v>2.7664144225990391E-3</c:v>
                </c:pt>
                <c:pt idx="23">
                  <c:v>2.1867234742945704E-3</c:v>
                </c:pt>
                <c:pt idx="24">
                  <c:v>1.6749816755666825E-3</c:v>
                </c:pt>
                <c:pt idx="25">
                  <c:v>1.2432710452133853E-3</c:v>
                </c:pt>
                <c:pt idx="26">
                  <c:v>8.9425452157972085E-4</c:v>
                </c:pt>
                <c:pt idx="27">
                  <c:v>6.232984346191215E-4</c:v>
                </c:pt>
                <c:pt idx="28">
                  <c:v>4.2098875323787649E-4</c:v>
                </c:pt>
                <c:pt idx="29">
                  <c:v>2.7553991333403687E-4</c:v>
                </c:pt>
                <c:pt idx="30">
                  <c:v>1.7475841909193502E-4</c:v>
                </c:pt>
                <c:pt idx="31">
                  <c:v>1.0740667278544683E-4</c:v>
                </c:pt>
                <c:pt idx="32">
                  <c:v>6.396817868699247E-5</c:v>
                </c:pt>
                <c:pt idx="33">
                  <c:v>3.6917839230597057E-5</c:v>
                </c:pt>
                <c:pt idx="34">
                  <c:v>2.064658029714311E-5</c:v>
                </c:pt>
                <c:pt idx="35">
                  <c:v>1.1189213285219697E-5</c:v>
                </c:pt>
                <c:pt idx="36">
                  <c:v>5.8761184829264248E-6</c:v>
                </c:pt>
                <c:pt idx="37">
                  <c:v>2.9903437055440938E-6</c:v>
                </c:pt>
                <c:pt idx="38">
                  <c:v>1.4746578006249198E-6</c:v>
                </c:pt>
                <c:pt idx="39">
                  <c:v>7.0469467919979588E-7</c:v>
                </c:pt>
                <c:pt idx="40">
                  <c:v>3.2632501101540292E-7</c:v>
                </c:pt>
                <c:pt idx="41">
                  <c:v>1.4643315817791021E-7</c:v>
                </c:pt>
                <c:pt idx="42">
                  <c:v>6.3674909944451166E-8</c:v>
                </c:pt>
                <c:pt idx="43">
                  <c:v>2.683103257861499E-8</c:v>
                </c:pt>
                <c:pt idx="44">
                  <c:v>1.0955877460602616E-8</c:v>
                </c:pt>
                <c:pt idx="45">
                  <c:v>4.3350975136796963E-9</c:v>
                </c:pt>
                <c:pt idx="46">
                  <c:v>1.6622443545254704E-9</c:v>
                </c:pt>
                <c:pt idx="47">
                  <c:v>6.1764623090634944E-10</c:v>
                </c:pt>
                <c:pt idx="48">
                  <c:v>2.2240404115220842E-10</c:v>
                </c:pt>
                <c:pt idx="49">
                  <c:v>7.7610562777356066E-11</c:v>
                </c:pt>
                <c:pt idx="50">
                  <c:v>2.6248665395268871E-11</c:v>
                </c:pt>
              </c:numCache>
            </c:numRef>
          </c:val>
        </c:ser>
        <c:ser>
          <c:idx val="5"/>
          <c:order val="5"/>
          <c:tx>
            <c:strRef>
              <c:f>'Mixture of 2 Gaussian dist.'!$B$155</c:f>
              <c:strCache>
                <c:ptCount val="1"/>
                <c:pt idx="0">
                  <c:v>-2.033925225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dist.'!$C$155:$BA$155</c:f>
              <c:numCache>
                <c:formatCode>General</c:formatCode>
                <c:ptCount val="51"/>
                <c:pt idx="0">
                  <c:v>2.3558160526930956E-4</c:v>
                </c:pt>
                <c:pt idx="1">
                  <c:v>3.7411872813399011E-4</c:v>
                </c:pt>
                <c:pt idx="2">
                  <c:v>5.757276504749191E-4</c:v>
                </c:pt>
                <c:pt idx="3">
                  <c:v>8.5854742998928678E-4</c:v>
                </c:pt>
                <c:pt idx="4">
                  <c:v>1.2406550948439541E-3</c:v>
                </c:pt>
                <c:pt idx="5">
                  <c:v>1.7373103233097862E-3</c:v>
                </c:pt>
                <c:pt idx="6">
                  <c:v>2.3574544129074705E-3</c:v>
                </c:pt>
                <c:pt idx="7">
                  <c:v>3.0999077689756295E-3</c:v>
                </c:pt>
                <c:pt idx="8">
                  <c:v>3.9499700969960324E-3</c:v>
                </c:pt>
                <c:pt idx="9">
                  <c:v>4.8772880917145531E-3</c:v>
                </c:pt>
                <c:pt idx="10">
                  <c:v>5.8358292550806266E-3</c:v>
                </c:pt>
                <c:pt idx="11">
                  <c:v>6.7665346558199143E-3</c:v>
                </c:pt>
                <c:pt idx="12">
                  <c:v>7.6027307497039927E-3</c:v>
                </c:pt>
                <c:pt idx="13">
                  <c:v>8.277753244070948E-3</c:v>
                </c:pt>
                <c:pt idx="14">
                  <c:v>8.7336323943284239E-3</c:v>
                </c:pt>
                <c:pt idx="15">
                  <c:v>8.9292895550445849E-3</c:v>
                </c:pt>
                <c:pt idx="16">
                  <c:v>8.8466423599919755E-3</c:v>
                </c:pt>
                <c:pt idx="17">
                  <c:v>8.493361338364952E-3</c:v>
                </c:pt>
                <c:pt idx="18">
                  <c:v>7.901695641095734E-3</c:v>
                </c:pt>
                <c:pt idx="19">
                  <c:v>7.1236169737566206E-3</c:v>
                </c:pt>
                <c:pt idx="20">
                  <c:v>6.2232950093931262E-3</c:v>
                </c:pt>
                <c:pt idx="21">
                  <c:v>5.2684126473189806E-3</c:v>
                </c:pt>
                <c:pt idx="22">
                  <c:v>4.3219401113940292E-3</c:v>
                </c:pt>
                <c:pt idx="23">
                  <c:v>3.4357161133382413E-3</c:v>
                </c:pt>
                <c:pt idx="24">
                  <c:v>2.6466430044675242E-3</c:v>
                </c:pt>
                <c:pt idx="25">
                  <c:v>1.9756637176888353E-3</c:v>
                </c:pt>
                <c:pt idx="26">
                  <c:v>1.4291251093404721E-3</c:v>
                </c:pt>
                <c:pt idx="27">
                  <c:v>1.0017677384964519E-3</c:v>
                </c:pt>
                <c:pt idx="28">
                  <c:v>6.8046125063325248E-4</c:v>
                </c:pt>
                <c:pt idx="29">
                  <c:v>4.4789820595083474E-4</c:v>
                </c:pt>
                <c:pt idx="30">
                  <c:v>2.8568985125975566E-4</c:v>
                </c:pt>
                <c:pt idx="31">
                  <c:v>1.765833978229172E-4</c:v>
                </c:pt>
                <c:pt idx="32">
                  <c:v>1.0576561330240273E-4</c:v>
                </c:pt>
                <c:pt idx="33">
                  <c:v>6.1387321147781681E-5</c:v>
                </c:pt>
                <c:pt idx="34">
                  <c:v>3.4526490774915703E-5</c:v>
                </c:pt>
                <c:pt idx="35">
                  <c:v>1.8817666496167687E-5</c:v>
                </c:pt>
                <c:pt idx="36">
                  <c:v>9.9384502942644175E-6</c:v>
                </c:pt>
                <c:pt idx="37">
                  <c:v>5.0864075805400005E-6</c:v>
                </c:pt>
                <c:pt idx="38">
                  <c:v>2.5225701511176859E-6</c:v>
                </c:pt>
                <c:pt idx="39">
                  <c:v>1.212313663523764E-6</c:v>
                </c:pt>
                <c:pt idx="40">
                  <c:v>5.6458130798395955E-7</c:v>
                </c:pt>
                <c:pt idx="41">
                  <c:v>2.5478739361879705E-7</c:v>
                </c:pt>
                <c:pt idx="42">
                  <c:v>1.1142168547388985E-7</c:v>
                </c:pt>
                <c:pt idx="43">
                  <c:v>4.7217465368408554E-8</c:v>
                </c:pt>
                <c:pt idx="44">
                  <c:v>1.9390026414417694E-8</c:v>
                </c:pt>
                <c:pt idx="45">
                  <c:v>7.7161405557238603E-9</c:v>
                </c:pt>
                <c:pt idx="46">
                  <c:v>2.9755973177709993E-9</c:v>
                </c:pt>
                <c:pt idx="47">
                  <c:v>1.112020264171933E-9</c:v>
                </c:pt>
                <c:pt idx="48">
                  <c:v>4.0275338104239098E-10</c:v>
                </c:pt>
                <c:pt idx="49">
                  <c:v>1.4138330333753142E-10</c:v>
                </c:pt>
                <c:pt idx="50">
                  <c:v>4.8114169743052362E-11</c:v>
                </c:pt>
              </c:numCache>
            </c:numRef>
          </c:val>
        </c:ser>
        <c:ser>
          <c:idx val="6"/>
          <c:order val="6"/>
          <c:tx>
            <c:strRef>
              <c:f>'Mixture of 2 Gaussian dist.'!$B$156</c:f>
              <c:strCache>
                <c:ptCount val="1"/>
                <c:pt idx="0">
                  <c:v>-1.842738557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dist.'!$C$156:$BA$156</c:f>
              <c:numCache>
                <c:formatCode>General</c:formatCode>
                <c:ptCount val="51"/>
                <c:pt idx="0">
                  <c:v>3.1309374978896227E-4</c:v>
                </c:pt>
                <c:pt idx="1">
                  <c:v>5.0003956716521776E-4</c:v>
                </c:pt>
                <c:pt idx="2">
                  <c:v>7.7388051016553548E-4</c:v>
                </c:pt>
                <c:pt idx="3">
                  <c:v>1.1606011969118432E-3</c:v>
                </c:pt>
                <c:pt idx="4">
                  <c:v>1.6866760766314948E-3</c:v>
                </c:pt>
                <c:pt idx="5">
                  <c:v>2.3753079489918323E-3</c:v>
                </c:pt>
                <c:pt idx="6">
                  <c:v>3.241512683796903E-3</c:v>
                </c:pt>
                <c:pt idx="7">
                  <c:v>4.2866210728886474E-3</c:v>
                </c:pt>
                <c:pt idx="8">
                  <c:v>5.4931572309000025E-3</c:v>
                </c:pt>
                <c:pt idx="9">
                  <c:v>6.8213216971690456E-3</c:v>
                </c:pt>
                <c:pt idx="10">
                  <c:v>8.208326052638203E-3</c:v>
                </c:pt>
                <c:pt idx="11">
                  <c:v>9.5715050544568411E-3</c:v>
                </c:pt>
                <c:pt idx="12">
                  <c:v>1.0815470894403306E-2</c:v>
                </c:pt>
                <c:pt idx="13">
                  <c:v>1.1842685577385857E-2</c:v>
                </c:pt>
                <c:pt idx="14">
                  <c:v>1.2565926961401453E-2</c:v>
                </c:pt>
                <c:pt idx="15">
                  <c:v>1.2920473490623632E-2</c:v>
                </c:pt>
                <c:pt idx="16">
                  <c:v>1.2873655811969885E-2</c:v>
                </c:pt>
                <c:pt idx="17">
                  <c:v>1.2429822423649105E-2</c:v>
                </c:pt>
                <c:pt idx="18">
                  <c:v>1.1629673463577808E-2</c:v>
                </c:pt>
                <c:pt idx="19">
                  <c:v>1.0544104065877151E-2</c:v>
                </c:pt>
                <c:pt idx="20">
                  <c:v>9.263847825893852E-3</c:v>
                </c:pt>
                <c:pt idx="21">
                  <c:v>7.8870157376077655E-3</c:v>
                </c:pt>
                <c:pt idx="22">
                  <c:v>6.5068915511255461E-3</c:v>
                </c:pt>
                <c:pt idx="23">
                  <c:v>5.2020436944796066E-3</c:v>
                </c:pt>
                <c:pt idx="24">
                  <c:v>4.0300829859591172E-3</c:v>
                </c:pt>
                <c:pt idx="25">
                  <c:v>3.0254748598841025E-3</c:v>
                </c:pt>
                <c:pt idx="26">
                  <c:v>2.2009626571250912E-3</c:v>
                </c:pt>
                <c:pt idx="27">
                  <c:v>1.5515699714923111E-3</c:v>
                </c:pt>
                <c:pt idx="28">
                  <c:v>1.0599115474986258E-3</c:v>
                </c:pt>
                <c:pt idx="29">
                  <c:v>7.0162886536978119E-4</c:v>
                </c:pt>
                <c:pt idx="30">
                  <c:v>4.5007494621931911E-4</c:v>
                </c:pt>
                <c:pt idx="31">
                  <c:v>2.7977042032151028E-4</c:v>
                </c:pt>
                <c:pt idx="32">
                  <c:v>1.6852266547786457E-4</c:v>
                </c:pt>
                <c:pt idx="33">
                  <c:v>9.8368129350047604E-5</c:v>
                </c:pt>
                <c:pt idx="34">
                  <c:v>5.5640378690635378E-5</c:v>
                </c:pt>
                <c:pt idx="35">
                  <c:v>3.0497575840134168E-5</c:v>
                </c:pt>
                <c:pt idx="36">
                  <c:v>1.6198699728335356E-5</c:v>
                </c:pt>
                <c:pt idx="37">
                  <c:v>8.3374762987088272E-6</c:v>
                </c:pt>
                <c:pt idx="38">
                  <c:v>4.1584238650497669E-6</c:v>
                </c:pt>
                <c:pt idx="39">
                  <c:v>2.0098456784396488E-6</c:v>
                </c:pt>
                <c:pt idx="40">
                  <c:v>9.4131884804805109E-7</c:v>
                </c:pt>
                <c:pt idx="41">
                  <c:v>4.2721985632293347E-7</c:v>
                </c:pt>
                <c:pt idx="42">
                  <c:v>1.8789180696155835E-7</c:v>
                </c:pt>
                <c:pt idx="43">
                  <c:v>8.0077075342960402E-8</c:v>
                </c:pt>
                <c:pt idx="44">
                  <c:v>3.3071726912953563E-8</c:v>
                </c:pt>
                <c:pt idx="45">
                  <c:v>1.3236171583810916E-8</c:v>
                </c:pt>
                <c:pt idx="46">
                  <c:v>5.1338274611436269E-9</c:v>
                </c:pt>
                <c:pt idx="47">
                  <c:v>1.9298571023138534E-9</c:v>
                </c:pt>
                <c:pt idx="48">
                  <c:v>7.0319209087648009E-10</c:v>
                </c:pt>
                <c:pt idx="49">
                  <c:v>2.4842769364095105E-10</c:v>
                </c:pt>
                <c:pt idx="50">
                  <c:v>8.5135549863505912E-11</c:v>
                </c:pt>
              </c:numCache>
            </c:numRef>
          </c:val>
        </c:ser>
        <c:ser>
          <c:idx val="7"/>
          <c:order val="7"/>
          <c:tx>
            <c:strRef>
              <c:f>'Mixture of 2 Gaussian dist.'!$B$157</c:f>
              <c:strCache>
                <c:ptCount val="1"/>
                <c:pt idx="0">
                  <c:v>-1.651551889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dist.'!$C$157:$BA$157</c:f>
              <c:numCache>
                <c:formatCode>General</c:formatCode>
                <c:ptCount val="51"/>
                <c:pt idx="0">
                  <c:v>4.0099664458373272E-4</c:v>
                </c:pt>
                <c:pt idx="1">
                  <c:v>6.4406931867442034E-4</c:v>
                </c:pt>
                <c:pt idx="2">
                  <c:v>1.0024530698253369E-3</c:v>
                </c:pt>
                <c:pt idx="3">
                  <c:v>1.5119417342745922E-3</c:v>
                </c:pt>
                <c:pt idx="4">
                  <c:v>2.2097626367730393E-3</c:v>
                </c:pt>
                <c:pt idx="5">
                  <c:v>3.1296499407249584E-3</c:v>
                </c:pt>
                <c:pt idx="6">
                  <c:v>4.2952205286032469E-3</c:v>
                </c:pt>
                <c:pt idx="7">
                  <c:v>5.712349038766577E-3</c:v>
                </c:pt>
                <c:pt idx="8">
                  <c:v>7.3617924893211806E-3</c:v>
                </c:pt>
                <c:pt idx="9">
                  <c:v>9.1937348255903342E-3</c:v>
                </c:pt>
                <c:pt idx="10">
                  <c:v>1.1126022683732684E-2</c:v>
                </c:pt>
                <c:pt idx="11">
                  <c:v>1.3047505089894823E-2</c:v>
                </c:pt>
                <c:pt idx="12">
                  <c:v>1.4827043952821516E-2</c:v>
                </c:pt>
                <c:pt idx="13">
                  <c:v>1.6327558223405605E-2</c:v>
                </c:pt>
                <c:pt idx="14">
                  <c:v>1.742318200603192E-2</c:v>
                </c:pt>
                <c:pt idx="15">
                  <c:v>1.8016618054072748E-2</c:v>
                </c:pt>
                <c:pt idx="16">
                  <c:v>1.8053384683888157E-2</c:v>
                </c:pt>
                <c:pt idx="17">
                  <c:v>1.7530066632762874E-2</c:v>
                </c:pt>
                <c:pt idx="18">
                  <c:v>1.6494838342903082E-2</c:v>
                </c:pt>
                <c:pt idx="19">
                  <c:v>1.5040148574742443E-2</c:v>
                </c:pt>
                <c:pt idx="20">
                  <c:v>1.3289105690447521E-2</c:v>
                </c:pt>
                <c:pt idx="21">
                  <c:v>1.1378341142974386E-2</c:v>
                </c:pt>
                <c:pt idx="22">
                  <c:v>9.4406459730447291E-3</c:v>
                </c:pt>
                <c:pt idx="23">
                  <c:v>7.5903890957286961E-3</c:v>
                </c:pt>
                <c:pt idx="24">
                  <c:v>5.9137904630305344E-3</c:v>
                </c:pt>
                <c:pt idx="25">
                  <c:v>4.4648553372148977E-3</c:v>
                </c:pt>
                <c:pt idx="26">
                  <c:v>3.2665432887725903E-3</c:v>
                </c:pt>
                <c:pt idx="27">
                  <c:v>2.3158424469185948E-3</c:v>
                </c:pt>
                <c:pt idx="28">
                  <c:v>1.590996293887217E-3</c:v>
                </c:pt>
                <c:pt idx="29">
                  <c:v>1.059177856223742E-3</c:v>
                </c:pt>
                <c:pt idx="30">
                  <c:v>6.8329490748146788E-4</c:v>
                </c:pt>
                <c:pt idx="31">
                  <c:v>4.2715652331353513E-4</c:v>
                </c:pt>
                <c:pt idx="32">
                  <c:v>2.5876496276771611E-4</c:v>
                </c:pt>
                <c:pt idx="33">
                  <c:v>1.5190199376545019E-4</c:v>
                </c:pt>
                <c:pt idx="34">
                  <c:v>8.6409413892880695E-5</c:v>
                </c:pt>
                <c:pt idx="35">
                  <c:v>4.7631937414134867E-5</c:v>
                </c:pt>
                <c:pt idx="36">
                  <c:v>2.544339598101663E-5</c:v>
                </c:pt>
                <c:pt idx="37">
                  <c:v>1.317017774598882E-5</c:v>
                </c:pt>
                <c:pt idx="38">
                  <c:v>6.6061450155030686E-6</c:v>
                </c:pt>
                <c:pt idx="39">
                  <c:v>3.2110335532397034E-6</c:v>
                </c:pt>
                <c:pt idx="40">
                  <c:v>1.5124554976797257E-6</c:v>
                </c:pt>
                <c:pt idx="41">
                  <c:v>6.90339763734749E-7</c:v>
                </c:pt>
                <c:pt idx="42">
                  <c:v>3.0534351031847622E-7</c:v>
                </c:pt>
                <c:pt idx="43">
                  <c:v>1.3087778307633291E-7</c:v>
                </c:pt>
                <c:pt idx="44">
                  <c:v>5.4363341089405097E-8</c:v>
                </c:pt>
                <c:pt idx="45">
                  <c:v>2.1884247962458136E-8</c:v>
                </c:pt>
                <c:pt idx="46">
                  <c:v>8.5385676834771441E-9</c:v>
                </c:pt>
                <c:pt idx="47">
                  <c:v>3.2295866364436885E-9</c:v>
                </c:pt>
                <c:pt idx="48">
                  <c:v>1.1845897812271028E-9</c:v>
                </c:pt>
                <c:pt idx="49">
                  <c:v>4.2162461288101899E-10</c:v>
                </c:pt>
                <c:pt idx="50">
                  <c:v>1.457892549209756E-10</c:v>
                </c:pt>
              </c:numCache>
            </c:numRef>
          </c:val>
        </c:ser>
        <c:ser>
          <c:idx val="8"/>
          <c:order val="8"/>
          <c:tx>
            <c:strRef>
              <c:f>'Mixture of 2 Gaussian dist.'!$B$158</c:f>
              <c:strCache>
                <c:ptCount val="1"/>
                <c:pt idx="0">
                  <c:v>-1.460365221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dist.'!$C$158:$BA$158</c:f>
              <c:numCache>
                <c:formatCode>General</c:formatCode>
                <c:ptCount val="51"/>
                <c:pt idx="0">
                  <c:v>4.9492614737536281E-4</c:v>
                </c:pt>
                <c:pt idx="1">
                  <c:v>7.9945527307667197E-4</c:v>
                </c:pt>
                <c:pt idx="2">
                  <c:v>1.2513751036233166E-3</c:v>
                </c:pt>
                <c:pt idx="3">
                  <c:v>1.8981057963626917E-3</c:v>
                </c:pt>
                <c:pt idx="4">
                  <c:v>2.7899273002290653E-3</c:v>
                </c:pt>
                <c:pt idx="5">
                  <c:v>3.9737901040481239E-3</c:v>
                </c:pt>
                <c:pt idx="6">
                  <c:v>5.4847460914941104E-3</c:v>
                </c:pt>
                <c:pt idx="7">
                  <c:v>7.335803622614278E-3</c:v>
                </c:pt>
                <c:pt idx="8">
                  <c:v>9.5077648610624368E-3</c:v>
                </c:pt>
                <c:pt idx="9">
                  <c:v>1.1941220952789208E-2</c:v>
                </c:pt>
                <c:pt idx="10">
                  <c:v>1.4533111389568669E-2</c:v>
                </c:pt>
                <c:pt idx="11">
                  <c:v>1.7139890231420256E-2</c:v>
                </c:pt>
                <c:pt idx="12">
                  <c:v>1.9588313065005625E-2</c:v>
                </c:pt>
                <c:pt idx="13">
                  <c:v>2.1693299022957493E-2</c:v>
                </c:pt>
                <c:pt idx="14">
                  <c:v>2.3280576738004745E-2</c:v>
                </c:pt>
                <c:pt idx="15">
                  <c:v>2.4210370382231942E-2</c:v>
                </c:pt>
                <c:pt idx="16">
                  <c:v>2.4397689402139777E-2</c:v>
                </c:pt>
                <c:pt idx="17">
                  <c:v>2.3825143709112605E-2</c:v>
                </c:pt>
                <c:pt idx="18">
                  <c:v>2.254560665571323E-2</c:v>
                </c:pt>
                <c:pt idx="19">
                  <c:v>2.0674160749094055E-2</c:v>
                </c:pt>
                <c:pt idx="20">
                  <c:v>1.8371026255216191E-2</c:v>
                </c:pt>
                <c:pt idx="21">
                  <c:v>1.5818981314835352E-2</c:v>
                </c:pt>
                <c:pt idx="22">
                  <c:v>1.3199673060719324E-2</c:v>
                </c:pt>
                <c:pt idx="23">
                  <c:v>1.0673021932514123E-2</c:v>
                </c:pt>
                <c:pt idx="24">
                  <c:v>8.3627900815027318E-3</c:v>
                </c:pt>
                <c:pt idx="25">
                  <c:v>6.3497197128803938E-3</c:v>
                </c:pt>
                <c:pt idx="26">
                  <c:v>4.6719424154808113E-3</c:v>
                </c:pt>
                <c:pt idx="27">
                  <c:v>3.3310409634347122E-3</c:v>
                </c:pt>
                <c:pt idx="28">
                  <c:v>2.3014525869066854E-3</c:v>
                </c:pt>
                <c:pt idx="29">
                  <c:v>1.540861692053424E-3</c:v>
                </c:pt>
                <c:pt idx="30">
                  <c:v>9.9968885931213196E-4</c:v>
                </c:pt>
                <c:pt idx="31">
                  <c:v>6.2850048526508098E-4</c:v>
                </c:pt>
                <c:pt idx="32">
                  <c:v>3.8290052253958087E-4</c:v>
                </c:pt>
                <c:pt idx="33">
                  <c:v>2.2605071743320125E-4</c:v>
                </c:pt>
                <c:pt idx="34">
                  <c:v>1.2931992257108482E-4</c:v>
                </c:pt>
                <c:pt idx="35">
                  <c:v>7.16910025269031E-5</c:v>
                </c:pt>
                <c:pt idx="36">
                  <c:v>3.8512672817824823E-5</c:v>
                </c:pt>
                <c:pt idx="37">
                  <c:v>2.0048537573856742E-5</c:v>
                </c:pt>
                <c:pt idx="38">
                  <c:v>1.0113518400535128E-5</c:v>
                </c:pt>
                <c:pt idx="39">
                  <c:v>4.9438283649360061E-6</c:v>
                </c:pt>
                <c:pt idx="40">
                  <c:v>2.3418985964535391E-6</c:v>
                </c:pt>
                <c:pt idx="41">
                  <c:v>1.0750296243363212E-6</c:v>
                </c:pt>
                <c:pt idx="42">
                  <c:v>4.7822075124437634E-7</c:v>
                </c:pt>
                <c:pt idx="43">
                  <c:v>2.0616152859739502E-7</c:v>
                </c:pt>
                <c:pt idx="44">
                  <c:v>8.6136677089728985E-8</c:v>
                </c:pt>
                <c:pt idx="45">
                  <c:v>3.488407640543655E-8</c:v>
                </c:pt>
                <c:pt idx="46">
                  <c:v>1.3697242852696032E-8</c:v>
                </c:pt>
                <c:pt idx="47">
                  <c:v>5.2168399101687256E-9</c:v>
                </c:pt>
                <c:pt idx="48">
                  <c:v>1.928949499080154E-9</c:v>
                </c:pt>
                <c:pt idx="49">
                  <c:v>6.9349432098817174E-10</c:v>
                </c:pt>
                <c:pt idx="50">
                  <c:v>2.4308449354003156E-10</c:v>
                </c:pt>
              </c:numCache>
            </c:numRef>
          </c:val>
        </c:ser>
        <c:ser>
          <c:idx val="9"/>
          <c:order val="9"/>
          <c:tx>
            <c:strRef>
              <c:f>'Mixture of 2 Gaussian dist.'!$B$159</c:f>
              <c:strCache>
                <c:ptCount val="1"/>
                <c:pt idx="0">
                  <c:v>-1.269178553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dist.'!$C$159:$BA$159</c:f>
              <c:numCache>
                <c:formatCode>General</c:formatCode>
                <c:ptCount val="51"/>
                <c:pt idx="0">
                  <c:v>5.886719982379975E-4</c:v>
                </c:pt>
                <c:pt idx="1">
                  <c:v>9.5628875925840085E-4</c:v>
                </c:pt>
                <c:pt idx="2">
                  <c:v>1.505373580842138E-3</c:v>
                </c:pt>
                <c:pt idx="3">
                  <c:v>2.2963553563937872E-3</c:v>
                </c:pt>
                <c:pt idx="4">
                  <c:v>3.3944816589289747E-3</c:v>
                </c:pt>
                <c:pt idx="5">
                  <c:v>4.8623632895851273E-3</c:v>
                </c:pt>
                <c:pt idx="6">
                  <c:v>6.7493337992414948E-3</c:v>
                </c:pt>
                <c:pt idx="7">
                  <c:v>9.0784974740662043E-3</c:v>
                </c:pt>
                <c:pt idx="8">
                  <c:v>1.1833320105530594E-2</c:v>
                </c:pt>
                <c:pt idx="9">
                  <c:v>1.4946476194905696E-2</c:v>
                </c:pt>
                <c:pt idx="10">
                  <c:v>1.8294080373645067E-2</c:v>
                </c:pt>
                <c:pt idx="11">
                  <c:v>2.1698110518836081E-2</c:v>
                </c:pt>
                <c:pt idx="12">
                  <c:v>2.4938642937920443E-2</c:v>
                </c:pt>
                <c:pt idx="13">
                  <c:v>2.7775589407320347E-2</c:v>
                </c:pt>
                <c:pt idx="14">
                  <c:v>2.99773553525263E-2</c:v>
                </c:pt>
                <c:pt idx="15">
                  <c:v>3.1351831380508857E-2</c:v>
                </c:pt>
                <c:pt idx="16">
                  <c:v>3.1774013772585458E-2</c:v>
                </c:pt>
                <c:pt idx="17">
                  <c:v>3.1204757384815315E-2</c:v>
                </c:pt>
                <c:pt idx="18">
                  <c:v>2.9696762608285666E-2</c:v>
                </c:pt>
                <c:pt idx="19">
                  <c:v>2.7386527589772888E-2</c:v>
                </c:pt>
                <c:pt idx="20">
                  <c:v>2.4473968663062687E-2</c:v>
                </c:pt>
                <c:pt idx="21">
                  <c:v>2.1193925089087566E-2</c:v>
                </c:pt>
                <c:pt idx="22">
                  <c:v>1.7785167366207954E-2</c:v>
                </c:pt>
                <c:pt idx="23">
                  <c:v>1.4462523713629846E-2</c:v>
                </c:pt>
                <c:pt idx="24">
                  <c:v>1.1396454943531658E-2</c:v>
                </c:pt>
                <c:pt idx="25">
                  <c:v>8.7023197757063638E-3</c:v>
                </c:pt>
                <c:pt idx="26">
                  <c:v>6.4393178719827854E-3</c:v>
                </c:pt>
                <c:pt idx="27">
                  <c:v>4.617259221422784E-3</c:v>
                </c:pt>
                <c:pt idx="28">
                  <c:v>3.2082501102403157E-3</c:v>
                </c:pt>
                <c:pt idx="29">
                  <c:v>2.1601889862022795E-3</c:v>
                </c:pt>
                <c:pt idx="30">
                  <c:v>1.4094667976709478E-3</c:v>
                </c:pt>
                <c:pt idx="31">
                  <c:v>8.9116379178055523E-4</c:v>
                </c:pt>
                <c:pt idx="32">
                  <c:v>5.4600901479479698E-4</c:v>
                </c:pt>
                <c:pt idx="33">
                  <c:v>3.2417664797525084E-4</c:v>
                </c:pt>
                <c:pt idx="34">
                  <c:v>1.8651052807588825E-4</c:v>
                </c:pt>
                <c:pt idx="35">
                  <c:v>1.0398359938475481E-4</c:v>
                </c:pt>
                <c:pt idx="36">
                  <c:v>5.6178034775658688E-5</c:v>
                </c:pt>
                <c:pt idx="37">
                  <c:v>2.9410954474876809E-5</c:v>
                </c:pt>
                <c:pt idx="38">
                  <c:v>1.4920863306439087E-5</c:v>
                </c:pt>
                <c:pt idx="39">
                  <c:v>7.3354000505205467E-6</c:v>
                </c:pt>
                <c:pt idx="40">
                  <c:v>3.4946538512878321E-6</c:v>
                </c:pt>
                <c:pt idx="41">
                  <c:v>1.6134140276402606E-6</c:v>
                </c:pt>
                <c:pt idx="42">
                  <c:v>7.2188795848518383E-7</c:v>
                </c:pt>
                <c:pt idx="43">
                  <c:v>3.1305201714346787E-7</c:v>
                </c:pt>
                <c:pt idx="44">
                  <c:v>1.3160213873971714E-7</c:v>
                </c:pt>
                <c:pt idx="45">
                  <c:v>5.3648060413942094E-8</c:v>
                </c:pt>
                <c:pt idx="46">
                  <c:v>2.1220664878254903E-8</c:v>
                </c:pt>
                <c:pt idx="47">
                  <c:v>8.1539990939816269E-9</c:v>
                </c:pt>
                <c:pt idx="48">
                  <c:v>3.0498191957795602E-9</c:v>
                </c:pt>
                <c:pt idx="49">
                  <c:v>1.1143393976353211E-9</c:v>
                </c:pt>
                <c:pt idx="50">
                  <c:v>4.001335871278531E-10</c:v>
                </c:pt>
              </c:numCache>
            </c:numRef>
          </c:val>
        </c:ser>
        <c:ser>
          <c:idx val="10"/>
          <c:order val="10"/>
          <c:tx>
            <c:strRef>
              <c:f>'Mixture of 2 Gaussian dist.'!$B$160</c:f>
              <c:strCache>
                <c:ptCount val="1"/>
                <c:pt idx="0">
                  <c:v>-1.077991885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dist.'!$C$160:$BA$160</c:f>
              <c:numCache>
                <c:formatCode>General</c:formatCode>
                <c:ptCount val="51"/>
                <c:pt idx="0">
                  <c:v>6.7474500252037261E-4</c:v>
                </c:pt>
                <c:pt idx="1">
                  <c:v>1.1023442718987929E-3</c:v>
                </c:pt>
                <c:pt idx="2">
                  <c:v>1.7451565391471276E-3</c:v>
                </c:pt>
                <c:pt idx="3">
                  <c:v>2.6772633585941405E-3</c:v>
                </c:pt>
                <c:pt idx="4">
                  <c:v>3.9800393477521121E-3</c:v>
                </c:pt>
                <c:pt idx="5">
                  <c:v>5.7335447063668905E-3</c:v>
                </c:pt>
                <c:pt idx="6">
                  <c:v>8.0038438432172808E-3</c:v>
                </c:pt>
                <c:pt idx="7">
                  <c:v>1.0827135617355514E-2</c:v>
                </c:pt>
                <c:pt idx="8">
                  <c:v>1.4192800969750907E-2</c:v>
                </c:pt>
                <c:pt idx="9">
                  <c:v>1.8028608776878348E-2</c:v>
                </c:pt>
                <c:pt idx="10">
                  <c:v>2.2191971333589418E-2</c:v>
                </c:pt>
                <c:pt idx="11">
                  <c:v>2.6470924966092293E-2</c:v>
                </c:pt>
                <c:pt idx="12">
                  <c:v>3.0597216350841158E-2</c:v>
                </c:pt>
                <c:pt idx="13">
                  <c:v>3.4271592389643203E-2</c:v>
                </c:pt>
                <c:pt idx="14">
                  <c:v>3.7198567567701055E-2</c:v>
                </c:pt>
                <c:pt idx="15">
                  <c:v>3.9125303122394567E-2</c:v>
                </c:pt>
                <c:pt idx="16">
                  <c:v>3.9877578636946152E-2</c:v>
                </c:pt>
                <c:pt idx="17">
                  <c:v>3.9385776408552821E-2</c:v>
                </c:pt>
                <c:pt idx="18">
                  <c:v>3.7695508675960845E-2</c:v>
                </c:pt>
                <c:pt idx="19">
                  <c:v>3.4960639764075103E-2</c:v>
                </c:pt>
                <c:pt idx="20">
                  <c:v>3.14201823210098E-2</c:v>
                </c:pt>
                <c:pt idx="21">
                  <c:v>2.7363874898545217E-2</c:v>
                </c:pt>
                <c:pt idx="22">
                  <c:v>2.3093303215386638E-2</c:v>
                </c:pt>
                <c:pt idx="23">
                  <c:v>1.8885743446051116E-2</c:v>
                </c:pt>
                <c:pt idx="24">
                  <c:v>1.4966549272504098E-2</c:v>
                </c:pt>
                <c:pt idx="25">
                  <c:v>1.1493408437345441E-2</c:v>
                </c:pt>
                <c:pt idx="26">
                  <c:v>8.5529428050734185E-3</c:v>
                </c:pt>
                <c:pt idx="27">
                  <c:v>6.1676804303940685E-3</c:v>
                </c:pt>
                <c:pt idx="28">
                  <c:v>4.3099053123064213E-3</c:v>
                </c:pt>
                <c:pt idx="29">
                  <c:v>2.9184561319508641E-3</c:v>
                </c:pt>
                <c:pt idx="30">
                  <c:v>1.9150415292794876E-3</c:v>
                </c:pt>
                <c:pt idx="31">
                  <c:v>1.2177070834251159E-3</c:v>
                </c:pt>
                <c:pt idx="32">
                  <c:v>7.5032104352651212E-4</c:v>
                </c:pt>
                <c:pt idx="33">
                  <c:v>4.4801358614790277E-4</c:v>
                </c:pt>
                <c:pt idx="34">
                  <c:v>2.5922400878769611E-4</c:v>
                </c:pt>
                <c:pt idx="35">
                  <c:v>1.4534486457945729E-4</c:v>
                </c:pt>
                <c:pt idx="36">
                  <c:v>7.8970613580704472E-5</c:v>
                </c:pt>
                <c:pt idx="37">
                  <c:v>4.1579048749982041E-5</c:v>
                </c:pt>
                <c:pt idx="38">
                  <c:v>2.1214389518233661E-5</c:v>
                </c:pt>
                <c:pt idx="39">
                  <c:v>1.0489164385073005E-5</c:v>
                </c:pt>
                <c:pt idx="40">
                  <c:v>5.0259730529552337E-6</c:v>
                </c:pt>
                <c:pt idx="41">
                  <c:v>2.3339770837840209E-6</c:v>
                </c:pt>
                <c:pt idx="42">
                  <c:v>1.0505687626463437E-6</c:v>
                </c:pt>
                <c:pt idx="43">
                  <c:v>4.58465869285613E-7</c:v>
                </c:pt>
                <c:pt idx="44">
                  <c:v>1.9406080823677096E-7</c:v>
                </c:pt>
                <c:pt idx="45">
                  <c:v>7.9739882268751398E-8</c:v>
                </c:pt>
                <c:pt idx="46">
                  <c:v>3.1854694783942967E-8</c:v>
                </c:pt>
                <c:pt idx="47">
                  <c:v>1.240495703694274E-8</c:v>
                </c:pt>
                <c:pt idx="48">
                  <c:v>4.7309738525089937E-9</c:v>
                </c:pt>
                <c:pt idx="49">
                  <c:v>1.7805125405245961E-9</c:v>
                </c:pt>
                <c:pt idx="50">
                  <c:v>6.6897759393811313E-10</c:v>
                </c:pt>
              </c:numCache>
            </c:numRef>
          </c:val>
        </c:ser>
        <c:ser>
          <c:idx val="11"/>
          <c:order val="11"/>
          <c:tx>
            <c:strRef>
              <c:f>'Mixture of 2 Gaussian dist.'!$B$161</c:f>
              <c:strCache>
                <c:ptCount val="1"/>
                <c:pt idx="0">
                  <c:v>-0.886805217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dist.'!$C$161:$BA$161</c:f>
              <c:numCache>
                <c:formatCode>General</c:formatCode>
                <c:ptCount val="51"/>
                <c:pt idx="0">
                  <c:v>7.4531402685538701E-4</c:v>
                </c:pt>
                <c:pt idx="1">
                  <c:v>1.2245563309456892E-3</c:v>
                </c:pt>
                <c:pt idx="2">
                  <c:v>1.9496551769156276E-3</c:v>
                </c:pt>
                <c:pt idx="3">
                  <c:v>3.0079901701644519E-3</c:v>
                </c:pt>
                <c:pt idx="4">
                  <c:v>4.4971211174254615E-3</c:v>
                </c:pt>
                <c:pt idx="5">
                  <c:v>6.5152685574224782E-3</c:v>
                </c:pt>
                <c:pt idx="6">
                  <c:v>9.1468093217878608E-3</c:v>
                </c:pt>
                <c:pt idx="7">
                  <c:v>1.244361298973916E-2</c:v>
                </c:pt>
                <c:pt idx="8">
                  <c:v>1.6404497497956791E-2</c:v>
                </c:pt>
                <c:pt idx="9">
                  <c:v>2.095650878565011E-2</c:v>
                </c:pt>
                <c:pt idx="10">
                  <c:v>2.5942659889044799E-2</c:v>
                </c:pt>
                <c:pt idx="11">
                  <c:v>3.1120720020502923E-2</c:v>
                </c:pt>
                <c:pt idx="12">
                  <c:v>3.6176315863318945E-2</c:v>
                </c:pt>
                <c:pt idx="13">
                  <c:v>4.0751031254250648E-2</c:v>
                </c:pt>
                <c:pt idx="14">
                  <c:v>4.4482832767308321E-2</c:v>
                </c:pt>
                <c:pt idx="15">
                  <c:v>4.7052839308145078E-2</c:v>
                </c:pt>
                <c:pt idx="16">
                  <c:v>4.8230170827140977E-2</c:v>
                </c:pt>
                <c:pt idx="17">
                  <c:v>4.7906156759831918E-2</c:v>
                </c:pt>
                <c:pt idx="18">
                  <c:v>4.6110881903679471E-2</c:v>
                </c:pt>
                <c:pt idx="19">
                  <c:v>4.3008578812866842E-2</c:v>
                </c:pt>
                <c:pt idx="20">
                  <c:v>3.8872844524361454E-2</c:v>
                </c:pt>
                <c:pt idx="21">
                  <c:v>3.4046864081311315E-2</c:v>
                </c:pt>
                <c:pt idx="22">
                  <c:v>2.889664874252686E-2</c:v>
                </c:pt>
                <c:pt idx="23">
                  <c:v>2.3766071920106272E-2</c:v>
                </c:pt>
                <c:pt idx="24">
                  <c:v>1.8941174356209466E-2</c:v>
                </c:pt>
                <c:pt idx="25">
                  <c:v>1.4628370920164389E-2</c:v>
                </c:pt>
                <c:pt idx="26">
                  <c:v>1.0947743020424129E-2</c:v>
                </c:pt>
                <c:pt idx="27">
                  <c:v>7.9394934897112721E-3</c:v>
                </c:pt>
                <c:pt idx="28">
                  <c:v>5.5795680386967177E-3</c:v>
                </c:pt>
                <c:pt idx="29">
                  <c:v>3.799688129068229E-3</c:v>
                </c:pt>
                <c:pt idx="30">
                  <c:v>2.5074654127936035E-3</c:v>
                </c:pt>
                <c:pt idx="31">
                  <c:v>1.6034729679009637E-3</c:v>
                </c:pt>
                <c:pt idx="32">
                  <c:v>9.9363794685710196E-4</c:v>
                </c:pt>
                <c:pt idx="33">
                  <c:v>5.9667085552837741E-4</c:v>
                </c:pt>
                <c:pt idx="34">
                  <c:v>3.4720200363387593E-4</c:v>
                </c:pt>
                <c:pt idx="35">
                  <c:v>1.9578148066912325E-4</c:v>
                </c:pt>
                <c:pt idx="36">
                  <c:v>1.0698071700574623E-4</c:v>
                </c:pt>
                <c:pt idx="37">
                  <c:v>5.664857033355016E-5</c:v>
                </c:pt>
                <c:pt idx="38">
                  <c:v>2.9069124081434464E-5</c:v>
                </c:pt>
                <c:pt idx="39">
                  <c:v>1.445619681938332E-5</c:v>
                </c:pt>
                <c:pt idx="40">
                  <c:v>6.9677606277939426E-6</c:v>
                </c:pt>
                <c:pt idx="41">
                  <c:v>3.2555339619776669E-6</c:v>
                </c:pt>
                <c:pt idx="42">
                  <c:v>1.4749559049698445E-6</c:v>
                </c:pt>
                <c:pt idx="43">
                  <c:v>6.4836846413184477E-7</c:v>
                </c:pt>
                <c:pt idx="44">
                  <c:v>2.7683886847167549E-7</c:v>
                </c:pt>
                <c:pt idx="45">
                  <c:v>1.1504210730400981E-7</c:v>
                </c:pt>
                <c:pt idx="46">
                  <c:v>4.6690926966523012E-8</c:v>
                </c:pt>
                <c:pt idx="47">
                  <c:v>1.8618186521839798E-8</c:v>
                </c:pt>
                <c:pt idx="48">
                  <c:v>7.3637864956137511E-9</c:v>
                </c:pt>
                <c:pt idx="49">
                  <c:v>2.9289344474047327E-9</c:v>
                </c:pt>
                <c:pt idx="50">
                  <c:v>1.1916337481703198E-9</c:v>
                </c:pt>
              </c:numCache>
            </c:numRef>
          </c:val>
        </c:ser>
        <c:ser>
          <c:idx val="12"/>
          <c:order val="12"/>
          <c:tx>
            <c:strRef>
              <c:f>'Mixture of 2 Gaussian dist.'!$B$162</c:f>
              <c:strCache>
                <c:ptCount val="1"/>
                <c:pt idx="0">
                  <c:v>-0.695618549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dist.'!$C$162:$BA$162</c:f>
              <c:numCache>
                <c:formatCode>General</c:formatCode>
                <c:ptCount val="51"/>
                <c:pt idx="0">
                  <c:v>7.9336352936596843E-4</c:v>
                </c:pt>
                <c:pt idx="1">
                  <c:v>1.310912200924181E-3</c:v>
                </c:pt>
                <c:pt idx="2">
                  <c:v>2.099010180512095E-3</c:v>
                </c:pt>
                <c:pt idx="3">
                  <c:v>3.2568297051096423E-3</c:v>
                </c:pt>
                <c:pt idx="4">
                  <c:v>4.8968310715625692E-3</c:v>
                </c:pt>
                <c:pt idx="5">
                  <c:v>7.1346842844240638E-3</c:v>
                </c:pt>
                <c:pt idx="6">
                  <c:v>1.0073350929283378E-2</c:v>
                </c:pt>
                <c:pt idx="7">
                  <c:v>1.3782015497495637E-2</c:v>
                </c:pt>
                <c:pt idx="8">
                  <c:v>1.8272209671768291E-2</c:v>
                </c:pt>
                <c:pt idx="9">
                  <c:v>2.3475182236156182E-2</c:v>
                </c:pt>
                <c:pt idx="10">
                  <c:v>2.922580220486486E-2</c:v>
                </c:pt>
                <c:pt idx="11">
                  <c:v>3.525847102062471E-2</c:v>
                </c:pt>
                <c:pt idx="12">
                  <c:v>4.1219249099233066E-2</c:v>
                </c:pt>
                <c:pt idx="13">
                  <c:v>4.6695630376364095E-2</c:v>
                </c:pt>
                <c:pt idx="14">
                  <c:v>5.1261578521322834E-2</c:v>
                </c:pt>
                <c:pt idx="15">
                  <c:v>5.4531478712555051E-2</c:v>
                </c:pt>
                <c:pt idx="16">
                  <c:v>5.6213695854298938E-2</c:v>
                </c:pt>
                <c:pt idx="17">
                  <c:v>5.6153466403380543E-2</c:v>
                </c:pt>
                <c:pt idx="18">
                  <c:v>5.4356385266837469E-2</c:v>
                </c:pt>
                <c:pt idx="19">
                  <c:v>5.0987548528251971E-2</c:v>
                </c:pt>
                <c:pt idx="20">
                  <c:v>4.6346534013567545E-2</c:v>
                </c:pt>
                <c:pt idx="21">
                  <c:v>4.0823473782258667E-2</c:v>
                </c:pt>
                <c:pt idx="22">
                  <c:v>3.4845140469202111E-2</c:v>
                </c:pt>
                <c:pt idx="23">
                  <c:v>2.8821332035778902E-2</c:v>
                </c:pt>
                <c:pt idx="24">
                  <c:v>2.3100716243731924E-2</c:v>
                </c:pt>
                <c:pt idx="25">
                  <c:v>1.7942229682088667E-2</c:v>
                </c:pt>
                <c:pt idx="26">
                  <c:v>1.3504140631670348E-2</c:v>
                </c:pt>
                <c:pt idx="27">
                  <c:v>9.8491119822275222E-3</c:v>
                </c:pt>
                <c:pt idx="28">
                  <c:v>6.9609225529354852E-3</c:v>
                </c:pt>
                <c:pt idx="29">
                  <c:v>4.7673405327274074E-3</c:v>
                </c:pt>
                <c:pt idx="30">
                  <c:v>3.1639184868832038E-3</c:v>
                </c:pt>
                <c:pt idx="31">
                  <c:v>2.0347653273059488E-3</c:v>
                </c:pt>
                <c:pt idx="32">
                  <c:v>1.2680713891276966E-3</c:v>
                </c:pt>
                <c:pt idx="33">
                  <c:v>7.6579802014806078E-4</c:v>
                </c:pt>
                <c:pt idx="34">
                  <c:v>4.4815435505883149E-4</c:v>
                </c:pt>
                <c:pt idx="35">
                  <c:v>2.5414832593685579E-4</c:v>
                </c:pt>
                <c:pt idx="36">
                  <c:v>1.3966897124181266E-4</c:v>
                </c:pt>
                <c:pt idx="37">
                  <c:v>7.4383927005469751E-5</c:v>
                </c:pt>
                <c:pt idx="38">
                  <c:v>3.8392911345076798E-5</c:v>
                </c:pt>
                <c:pt idx="39">
                  <c:v>1.9207314005403199E-5</c:v>
                </c:pt>
                <c:pt idx="40">
                  <c:v>9.3158659172953239E-6</c:v>
                </c:pt>
                <c:pt idx="41">
                  <c:v>4.3823284251046056E-6</c:v>
                </c:pt>
                <c:pt idx="42">
                  <c:v>2.0010373057884442E-6</c:v>
                </c:pt>
                <c:pt idx="43">
                  <c:v>8.8818719067951073E-7</c:v>
                </c:pt>
                <c:pt idx="44">
                  <c:v>3.8422510503556254E-7</c:v>
                </c:pt>
                <c:pt idx="45">
                  <c:v>1.6273197391908028E-7</c:v>
                </c:pt>
                <c:pt idx="46">
                  <c:v>6.7990326463679024E-8</c:v>
                </c:pt>
                <c:pt idx="47">
                  <c:v>2.8350720632688081E-8</c:v>
                </c:pt>
                <c:pt idx="48">
                  <c:v>1.1986777515876435E-8</c:v>
                </c:pt>
                <c:pt idx="49">
                  <c:v>5.2294756741701136E-9</c:v>
                </c:pt>
                <c:pt idx="50">
                  <c:v>2.3851344112910097E-9</c:v>
                </c:pt>
              </c:numCache>
            </c:numRef>
          </c:val>
        </c:ser>
        <c:ser>
          <c:idx val="13"/>
          <c:order val="13"/>
          <c:tx>
            <c:strRef>
              <c:f>'Mixture of 2 Gaussian dist.'!$B$163</c:f>
              <c:strCache>
                <c:ptCount val="1"/>
                <c:pt idx="0">
                  <c:v>-0.504431881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dist.'!$C$163:$BA$163</c:f>
              <c:numCache>
                <c:formatCode>General</c:formatCode>
                <c:ptCount val="51"/>
                <c:pt idx="0">
                  <c:v>8.1383898358672714E-4</c:v>
                </c:pt>
                <c:pt idx="1">
                  <c:v>1.3523894137370091E-3</c:v>
                </c:pt>
                <c:pt idx="2">
                  <c:v>2.1777328489696185E-3</c:v>
                </c:pt>
                <c:pt idx="3">
                  <c:v>3.3981849156865286E-3</c:v>
                </c:pt>
                <c:pt idx="4">
                  <c:v>5.1384126661873503E-3</c:v>
                </c:pt>
                <c:pt idx="5">
                  <c:v>7.5292291930033348E-3</c:v>
                </c:pt>
                <c:pt idx="6">
                  <c:v>1.0690834869345578E-2</c:v>
                </c:pt>
                <c:pt idx="7">
                  <c:v>1.4709987092013814E-2</c:v>
                </c:pt>
                <c:pt idx="8">
                  <c:v>1.9613383849504382E-2</c:v>
                </c:pt>
                <c:pt idx="9">
                  <c:v>2.5341500727514937E-2</c:v>
                </c:pt>
                <c:pt idx="10">
                  <c:v>3.1728657656443768E-2</c:v>
                </c:pt>
                <c:pt idx="11">
                  <c:v>3.8495559262622173E-2</c:v>
                </c:pt>
                <c:pt idx="12">
                  <c:v>4.5259435633503667E-2</c:v>
                </c:pt>
                <c:pt idx="13">
                  <c:v>5.1564071394584354E-2</c:v>
                </c:pt>
                <c:pt idx="14">
                  <c:v>5.692785681088279E-2</c:v>
                </c:pt>
                <c:pt idx="15">
                  <c:v>6.0903469397470204E-2</c:v>
                </c:pt>
                <c:pt idx="16">
                  <c:v>6.3139159798986266E-2</c:v>
                </c:pt>
                <c:pt idx="17">
                  <c:v>6.3430061101595075E-2</c:v>
                </c:pt>
                <c:pt idx="18">
                  <c:v>6.1749156187908286E-2</c:v>
                </c:pt>
                <c:pt idx="19">
                  <c:v>5.8251416555578535E-2</c:v>
                </c:pt>
                <c:pt idx="20">
                  <c:v>5.3250234053187753E-2</c:v>
                </c:pt>
                <c:pt idx="21">
                  <c:v>4.7171112348067784E-2</c:v>
                </c:pt>
                <c:pt idx="22">
                  <c:v>4.0492098170637252E-2</c:v>
                </c:pt>
                <c:pt idx="23">
                  <c:v>3.3682476302298321E-2</c:v>
                </c:pt>
                <c:pt idx="24">
                  <c:v>2.7150467719757224E-2</c:v>
                </c:pt>
                <c:pt idx="25">
                  <c:v>2.12075351201284E-2</c:v>
                </c:pt>
                <c:pt idx="26">
                  <c:v>1.605249944380497E-2</c:v>
                </c:pt>
                <c:pt idx="27">
                  <c:v>1.177429056292612E-2</c:v>
                </c:pt>
                <c:pt idx="28">
                  <c:v>8.3688639961982721E-3</c:v>
                </c:pt>
                <c:pt idx="29">
                  <c:v>5.764187132337925E-3</c:v>
                </c:pt>
                <c:pt idx="30">
                  <c:v>3.8472436827941539E-3</c:v>
                </c:pt>
                <c:pt idx="31">
                  <c:v>2.4882953322527984E-3</c:v>
                </c:pt>
                <c:pt idx="32">
                  <c:v>1.5595377048186955E-3</c:v>
                </c:pt>
                <c:pt idx="33">
                  <c:v>9.4718286915037122E-4</c:v>
                </c:pt>
                <c:pt idx="34">
                  <c:v>5.5746855966773022E-4</c:v>
                </c:pt>
                <c:pt idx="35">
                  <c:v>3.1795426752839902E-4</c:v>
                </c:pt>
                <c:pt idx="36">
                  <c:v>1.7574570616595971E-4</c:v>
                </c:pt>
                <c:pt idx="37">
                  <c:v>9.4149022830887364E-5</c:v>
                </c:pt>
                <c:pt idx="38">
                  <c:v>4.889067249563647E-5</c:v>
                </c:pt>
                <c:pt idx="39">
                  <c:v>2.4617575897407716E-5</c:v>
                </c:pt>
                <c:pt idx="40">
                  <c:v>1.2025932076093976E-5</c:v>
                </c:pt>
                <c:pt idx="41">
                  <c:v>5.7056081772756461E-6</c:v>
                </c:pt>
                <c:pt idx="42">
                  <c:v>2.6340637713763366E-6</c:v>
                </c:pt>
                <c:pt idx="43">
                  <c:v>1.1873307292982134E-6</c:v>
                </c:pt>
                <c:pt idx="44">
                  <c:v>5.2562542408527695E-7</c:v>
                </c:pt>
                <c:pt idx="45">
                  <c:v>2.306986237080543E-7</c:v>
                </c:pt>
                <c:pt idx="46">
                  <c:v>1.0179114354683157E-7</c:v>
                </c:pt>
                <c:pt idx="47">
                  <c:v>4.5944764287582631E-8</c:v>
                </c:pt>
                <c:pt idx="48">
                  <c:v>2.1569094079987223E-8</c:v>
                </c:pt>
                <c:pt idx="49">
                  <c:v>1.0622806479603301E-8</c:v>
                </c:pt>
                <c:pt idx="50">
                  <c:v>5.4647707974161733E-9</c:v>
                </c:pt>
              </c:numCache>
            </c:numRef>
          </c:val>
        </c:ser>
        <c:ser>
          <c:idx val="14"/>
          <c:order val="14"/>
          <c:tx>
            <c:strRef>
              <c:f>'Mixture of 2 Gaussian dist.'!$B$164</c:f>
              <c:strCache>
                <c:ptCount val="1"/>
                <c:pt idx="0">
                  <c:v>-0.313245213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dist.'!$C$164:$BA$164</c:f>
              <c:numCache>
                <c:formatCode>General</c:formatCode>
                <c:ptCount val="51"/>
                <c:pt idx="0">
                  <c:v>8.0452226075767186E-4</c:v>
                </c:pt>
                <c:pt idx="1">
                  <c:v>1.3445075300678607E-3</c:v>
                </c:pt>
                <c:pt idx="2">
                  <c:v>2.1773486606969082E-3</c:v>
                </c:pt>
                <c:pt idx="3">
                  <c:v>3.4169001223701275E-3</c:v>
                </c:pt>
                <c:pt idx="4">
                  <c:v>5.1960839161233046E-3</c:v>
                </c:pt>
                <c:pt idx="5">
                  <c:v>7.6570166999791354E-3</c:v>
                </c:pt>
                <c:pt idx="6">
                  <c:v>1.0934088845305371E-2</c:v>
                </c:pt>
                <c:pt idx="7">
                  <c:v>1.5130217415497157E-2</c:v>
                </c:pt>
                <c:pt idx="8">
                  <c:v>2.0288376941128866E-2</c:v>
                </c:pt>
                <c:pt idx="9">
                  <c:v>2.6362646587523252E-2</c:v>
                </c:pt>
                <c:pt idx="10">
                  <c:v>3.3194816807571435E-2</c:v>
                </c:pt>
                <c:pt idx="11">
                  <c:v>4.0503365494882378E-2</c:v>
                </c:pt>
                <c:pt idx="12">
                  <c:v>4.7890736043697889E-2</c:v>
                </c:pt>
                <c:pt idx="13">
                  <c:v>5.4872087054140012E-2</c:v>
                </c:pt>
                <c:pt idx="14">
                  <c:v>6.0924365089150778E-2</c:v>
                </c:pt>
                <c:pt idx="15">
                  <c:v>6.5549609863243E-2</c:v>
                </c:pt>
                <c:pt idx="16">
                  <c:v>6.8342171918425537E-2</c:v>
                </c:pt>
                <c:pt idx="17">
                  <c:v>6.9047348868308739E-2</c:v>
                </c:pt>
                <c:pt idx="18">
                  <c:v>6.7599705805517343E-2</c:v>
                </c:pt>
                <c:pt idx="19">
                  <c:v>6.4133090713005422E-2</c:v>
                </c:pt>
                <c:pt idx="20">
                  <c:v>5.8960220742105406E-2</c:v>
                </c:pt>
                <c:pt idx="21">
                  <c:v>5.2526153561349223E-2</c:v>
                </c:pt>
                <c:pt idx="22">
                  <c:v>4.5345235966355958E-2</c:v>
                </c:pt>
                <c:pt idx="23">
                  <c:v>3.7933883493280085E-2</c:v>
                </c:pt>
                <c:pt idx="24">
                  <c:v>3.0751232464307356E-2</c:v>
                </c:pt>
                <c:pt idx="25">
                  <c:v>2.4156685462117123E-2</c:v>
                </c:pt>
                <c:pt idx="26">
                  <c:v>1.8388732613694198E-2</c:v>
                </c:pt>
                <c:pt idx="27">
                  <c:v>1.3564567978569076E-2</c:v>
                </c:pt>
                <c:pt idx="28">
                  <c:v>9.696165488604443E-3</c:v>
                </c:pt>
                <c:pt idx="29">
                  <c:v>6.7163653259857794E-3</c:v>
                </c:pt>
                <c:pt idx="30">
                  <c:v>4.5082664583192952E-3</c:v>
                </c:pt>
                <c:pt idx="31">
                  <c:v>2.932427792825426E-3</c:v>
                </c:pt>
                <c:pt idx="32">
                  <c:v>1.8483773143147851E-3</c:v>
                </c:pt>
                <c:pt idx="33">
                  <c:v>1.1290304535730602E-3</c:v>
                </c:pt>
                <c:pt idx="34">
                  <c:v>6.6832036111486915E-4</c:v>
                </c:pt>
                <c:pt idx="35">
                  <c:v>3.8339985047097515E-4</c:v>
                </c:pt>
                <c:pt idx="36">
                  <c:v>2.1318397855687435E-4</c:v>
                </c:pt>
                <c:pt idx="37">
                  <c:v>1.1491678777003564E-4</c:v>
                </c:pt>
                <c:pt idx="38">
                  <c:v>6.0077500925280708E-5</c:v>
                </c:pt>
                <c:pt idx="39">
                  <c:v>3.0483528656649479E-5</c:v>
                </c:pt>
                <c:pt idx="40">
                  <c:v>1.5033008596854853E-5</c:v>
                </c:pt>
                <c:pt idx="41">
                  <c:v>7.2234604750950162E-6</c:v>
                </c:pt>
                <c:pt idx="42">
                  <c:v>3.3969048625193024E-6</c:v>
                </c:pt>
                <c:pt idx="43">
                  <c:v>1.5750224103305293E-6</c:v>
                </c:pt>
                <c:pt idx="44">
                  <c:v>7.2843866410366672E-7</c:v>
                </c:pt>
                <c:pt idx="45">
                  <c:v>3.4148299550351881E-7</c:v>
                </c:pt>
                <c:pt idx="46">
                  <c:v>1.6522401555602432E-7</c:v>
                </c:pt>
                <c:pt idx="47">
                  <c:v>8.367287400631024E-8</c:v>
                </c:pt>
                <c:pt idx="48">
                  <c:v>4.447465629765098E-8</c:v>
                </c:pt>
                <c:pt idx="49">
                  <c:v>2.4555078618429798E-8</c:v>
                </c:pt>
                <c:pt idx="50">
                  <c:v>1.3826086229473946E-8</c:v>
                </c:pt>
              </c:numCache>
            </c:numRef>
          </c:val>
        </c:ser>
        <c:ser>
          <c:idx val="15"/>
          <c:order val="15"/>
          <c:tx>
            <c:strRef>
              <c:f>'Mixture of 2 Gaussian dist.'!$B$165</c:f>
              <c:strCache>
                <c:ptCount val="1"/>
                <c:pt idx="0">
                  <c:v>-0.122058545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dist.'!$C$165:$BA$165</c:f>
              <c:numCache>
                <c:formatCode>General</c:formatCode>
                <c:ptCount val="51"/>
                <c:pt idx="0">
                  <c:v>7.6642729135640143E-4</c:v>
                </c:pt>
                <c:pt idx="1">
                  <c:v>1.2881250756022454E-3</c:v>
                </c:pt>
                <c:pt idx="2">
                  <c:v>2.0978994756255336E-3</c:v>
                </c:pt>
                <c:pt idx="3">
                  <c:v>3.3109367192861012E-3</c:v>
                </c:pt>
                <c:pt idx="4">
                  <c:v>5.0635680669682799E-3</c:v>
                </c:pt>
                <c:pt idx="5">
                  <c:v>7.5041583623811255E-3</c:v>
                </c:pt>
                <c:pt idx="6">
                  <c:v>1.0776727334754687E-2</c:v>
                </c:pt>
                <c:pt idx="7">
                  <c:v>1.4997240816811037E-2</c:v>
                </c:pt>
                <c:pt idx="8">
                  <c:v>2.0224388613142089E-2</c:v>
                </c:pt>
                <c:pt idx="9">
                  <c:v>2.6428894926096513E-2</c:v>
                </c:pt>
                <c:pt idx="10">
                  <c:v>3.3467415309654476E-2</c:v>
                </c:pt>
                <c:pt idx="11">
                  <c:v>4.1068128093443221E-2</c:v>
                </c:pt>
                <c:pt idx="12">
                  <c:v>4.8834552112640942E-2</c:v>
                </c:pt>
                <c:pt idx="13">
                  <c:v>5.6271575665899652E-2</c:v>
                </c:pt>
                <c:pt idx="14">
                  <c:v>6.2833392575266239E-2</c:v>
                </c:pt>
                <c:pt idx="15">
                  <c:v>6.7987881484439239E-2</c:v>
                </c:pt>
                <c:pt idx="16">
                  <c:v>7.1287284914334351E-2</c:v>
                </c:pt>
                <c:pt idx="17">
                  <c:v>7.2432288354235708E-2</c:v>
                </c:pt>
                <c:pt idx="18">
                  <c:v>7.1316809248018975E-2</c:v>
                </c:pt>
                <c:pt idx="19">
                  <c:v>6.8044208950062052E-2</c:v>
                </c:pt>
                <c:pt idx="20">
                  <c:v>6.2911494549303698E-2</c:v>
                </c:pt>
                <c:pt idx="21">
                  <c:v>5.6364856502100935E-2</c:v>
                </c:pt>
                <c:pt idx="22">
                  <c:v>4.8935765208431653E-2</c:v>
                </c:pt>
                <c:pt idx="23">
                  <c:v>4.1170292038736483E-2</c:v>
                </c:pt>
                <c:pt idx="24">
                  <c:v>3.3564572558194609E-2</c:v>
                </c:pt>
                <c:pt idx="25">
                  <c:v>2.6516607130626934E-2</c:v>
                </c:pt>
                <c:pt idx="26">
                  <c:v>2.0299930732281889E-2</c:v>
                </c:pt>
                <c:pt idx="27">
                  <c:v>1.5059520898802536E-2</c:v>
                </c:pt>
                <c:pt idx="28">
                  <c:v>1.0826005216846176E-2</c:v>
                </c:pt>
                <c:pt idx="29">
                  <c:v>7.5416570306449165E-3</c:v>
                </c:pt>
                <c:pt idx="30">
                  <c:v>5.0910671919563192E-3</c:v>
                </c:pt>
                <c:pt idx="31">
                  <c:v>3.3304162122721362E-3</c:v>
                </c:pt>
                <c:pt idx="32">
                  <c:v>2.1112716529549632E-3</c:v>
                </c:pt>
                <c:pt idx="33">
                  <c:v>1.2970661193622841E-3</c:v>
                </c:pt>
                <c:pt idx="34">
                  <c:v>7.7229798012544589E-4</c:v>
                </c:pt>
                <c:pt idx="35">
                  <c:v>4.4573370578754632E-4</c:v>
                </c:pt>
                <c:pt idx="36">
                  <c:v>2.4943364331964454E-4</c:v>
                </c:pt>
                <c:pt idx="37">
                  <c:v>1.3541094742235203E-4</c:v>
                </c:pt>
                <c:pt idx="38">
                  <c:v>7.1384331160049584E-5</c:v>
                </c:pt>
                <c:pt idx="39">
                  <c:v>3.660966817276938E-5</c:v>
                </c:pt>
                <c:pt idx="40">
                  <c:v>1.8325573518457485E-5</c:v>
                </c:pt>
                <c:pt idx="41">
                  <c:v>9.0044623783353798E-6</c:v>
                </c:pt>
                <c:pt idx="42">
                  <c:v>4.3836917205058206E-6</c:v>
                </c:pt>
                <c:pt idx="43">
                  <c:v>2.1440691742511971E-6</c:v>
                </c:pt>
                <c:pt idx="44">
                  <c:v>1.0724398579485195E-6</c:v>
                </c:pt>
                <c:pt idx="45">
                  <c:v>5.5822172856129162E-7</c:v>
                </c:pt>
                <c:pt idx="46">
                  <c:v>3.0529803781846797E-7</c:v>
                </c:pt>
                <c:pt idx="47">
                  <c:v>1.7478816384101377E-7</c:v>
                </c:pt>
                <c:pt idx="48">
                  <c:v>1.0315879931992084E-7</c:v>
                </c:pt>
                <c:pt idx="49">
                  <c:v>6.1537565781319776E-8</c:v>
                </c:pt>
                <c:pt idx="50">
                  <c:v>3.6454603143656504E-8</c:v>
                </c:pt>
              </c:numCache>
            </c:numRef>
          </c:val>
        </c:ser>
        <c:ser>
          <c:idx val="16"/>
          <c:order val="16"/>
          <c:tx>
            <c:strRef>
              <c:f>'Mixture of 2 Gaussian dist.'!$B$166</c:f>
              <c:strCache>
                <c:ptCount val="1"/>
                <c:pt idx="0">
                  <c:v>0.069128122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dist.'!$C$166:$BA$166</c:f>
              <c:numCache>
                <c:formatCode>General</c:formatCode>
                <c:ptCount val="51"/>
                <c:pt idx="0">
                  <c:v>7.0361838048646258E-4</c:v>
                </c:pt>
                <c:pt idx="1">
                  <c:v>1.1892855706706444E-3</c:v>
                </c:pt>
                <c:pt idx="2">
                  <c:v>1.9479360256950216E-3</c:v>
                </c:pt>
                <c:pt idx="3">
                  <c:v>3.0917387961780715E-3</c:v>
                </c:pt>
                <c:pt idx="4">
                  <c:v>4.7552183956530861E-3</c:v>
                </c:pt>
                <c:pt idx="5">
                  <c:v>7.0872492411121722E-3</c:v>
                </c:pt>
                <c:pt idx="6">
                  <c:v>1.0235864083488793E-2</c:v>
                </c:pt>
                <c:pt idx="7">
                  <c:v>1.4325536020710131E-2</c:v>
                </c:pt>
                <c:pt idx="8">
                  <c:v>1.9428390216717571E-2</c:v>
                </c:pt>
                <c:pt idx="9">
                  <c:v>2.5533027935277907E-2</c:v>
                </c:pt>
                <c:pt idx="10">
                  <c:v>3.2516769260907748E-2</c:v>
                </c:pt>
                <c:pt idx="11">
                  <c:v>4.0128416666374442E-2</c:v>
                </c:pt>
                <c:pt idx="12">
                  <c:v>4.7988395048350355E-2</c:v>
                </c:pt>
                <c:pt idx="13">
                  <c:v>5.5610908826630646E-2</c:v>
                </c:pt>
                <c:pt idx="14">
                  <c:v>6.2448689069580413E-2</c:v>
                </c:pt>
                <c:pt idx="15">
                  <c:v>6.7955752454925619E-2</c:v>
                </c:pt>
                <c:pt idx="16">
                  <c:v>7.1658661465249116E-2</c:v>
                </c:pt>
                <c:pt idx="17">
                  <c:v>7.322354050847929E-2</c:v>
                </c:pt>
                <c:pt idx="18">
                  <c:v>7.2505729047781922E-2</c:v>
                </c:pt>
                <c:pt idx="19">
                  <c:v>6.957184038849161E-2</c:v>
                </c:pt>
                <c:pt idx="20">
                  <c:v>6.4689565128780213E-2</c:v>
                </c:pt>
                <c:pt idx="21">
                  <c:v>5.8287382040379511E-2</c:v>
                </c:pt>
                <c:pt idx="22">
                  <c:v>5.0892579109442615E-2</c:v>
                </c:pt>
                <c:pt idx="23">
                  <c:v>4.3059997090188588E-2</c:v>
                </c:pt>
                <c:pt idx="24">
                  <c:v>3.5304756921698391E-2</c:v>
                </c:pt>
                <c:pt idx="25">
                  <c:v>2.804996319700934E-2</c:v>
                </c:pt>
                <c:pt idx="26">
                  <c:v>2.1595910366308951E-2</c:v>
                </c:pt>
                <c:pt idx="27">
                  <c:v>1.6112077201771949E-2</c:v>
                </c:pt>
                <c:pt idx="28">
                  <c:v>1.164859878713998E-2</c:v>
                </c:pt>
                <c:pt idx="29">
                  <c:v>8.1609499137680983E-3</c:v>
                </c:pt>
                <c:pt idx="30">
                  <c:v>5.540617310022344E-3</c:v>
                </c:pt>
                <c:pt idx="31">
                  <c:v>3.6453323305890503E-3</c:v>
                </c:pt>
                <c:pt idx="32">
                  <c:v>2.3243401230257196E-3</c:v>
                </c:pt>
                <c:pt idx="33">
                  <c:v>1.4364452769870743E-3</c:v>
                </c:pt>
                <c:pt idx="34">
                  <c:v>8.6057625763485003E-4</c:v>
                </c:pt>
                <c:pt idx="35">
                  <c:v>4.9999044469505819E-4</c:v>
                </c:pt>
                <c:pt idx="36">
                  <c:v>2.8191061833791799E-4</c:v>
                </c:pt>
                <c:pt idx="37">
                  <c:v>1.5445712058211947E-4</c:v>
                </c:pt>
                <c:pt idx="38">
                  <c:v>8.243126017079372E-5</c:v>
                </c:pt>
                <c:pt idx="39">
                  <c:v>4.3034039884980906E-5</c:v>
                </c:pt>
                <c:pt idx="40">
                  <c:v>2.213661570603101E-5</c:v>
                </c:pt>
                <c:pt idx="41">
                  <c:v>1.134923042394195E-5</c:v>
                </c:pt>
                <c:pt idx="42">
                  <c:v>5.8937023437451651E-6</c:v>
                </c:pt>
                <c:pt idx="43">
                  <c:v>3.1585107644889015E-6</c:v>
                </c:pt>
                <c:pt idx="44">
                  <c:v>1.7732929484834998E-6</c:v>
                </c:pt>
                <c:pt idx="45">
                  <c:v>1.0469824888542489E-6</c:v>
                </c:pt>
                <c:pt idx="46">
                  <c:v>6.4360406800088918E-7</c:v>
                </c:pt>
                <c:pt idx="47">
                  <c:v>4.0430382371980504E-7</c:v>
                </c:pt>
                <c:pt idx="48">
                  <c:v>2.5450817098838067E-7</c:v>
                </c:pt>
                <c:pt idx="49">
                  <c:v>1.5804475245277959E-7</c:v>
                </c:pt>
                <c:pt idx="50">
                  <c:v>9.5773741649995847E-8</c:v>
                </c:pt>
              </c:numCache>
            </c:numRef>
          </c:val>
        </c:ser>
        <c:ser>
          <c:idx val="17"/>
          <c:order val="17"/>
          <c:tx>
            <c:strRef>
              <c:f>'Mixture of 2 Gaussian dist.'!$B$167</c:f>
              <c:strCache>
                <c:ptCount val="1"/>
                <c:pt idx="0">
                  <c:v>0.26031479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dist.'!$C$167:$BA$167</c:f>
              <c:numCache>
                <c:formatCode>General</c:formatCode>
                <c:ptCount val="51"/>
                <c:pt idx="0">
                  <c:v>6.2249620808649557E-4</c:v>
                </c:pt>
                <c:pt idx="1">
                  <c:v>1.058150847716817E-3</c:v>
                </c:pt>
                <c:pt idx="2">
                  <c:v>1.7430025570602575E-3</c:v>
                </c:pt>
                <c:pt idx="3">
                  <c:v>2.7821979763653815E-3</c:v>
                </c:pt>
                <c:pt idx="4">
                  <c:v>4.3034583357738449E-3</c:v>
                </c:pt>
                <c:pt idx="5">
                  <c:v>6.4504014002119241E-3</c:v>
                </c:pt>
                <c:pt idx="6">
                  <c:v>9.3690476035688548E-3</c:v>
                </c:pt>
                <c:pt idx="7">
                  <c:v>1.3186930466973324E-2</c:v>
                </c:pt>
                <c:pt idx="8">
                  <c:v>1.7985874262118309E-2</c:v>
                </c:pt>
                <c:pt idx="9">
                  <c:v>2.3771629666074722E-2</c:v>
                </c:pt>
                <c:pt idx="10">
                  <c:v>3.0445697276131254E-2</c:v>
                </c:pt>
                <c:pt idx="11">
                  <c:v>3.7786133965456575E-2</c:v>
                </c:pt>
                <c:pt idx="12">
                  <c:v>4.5444210331042262E-2</c:v>
                </c:pt>
                <c:pt idx="13">
                  <c:v>5.2961981914400678E-2</c:v>
                </c:pt>
                <c:pt idx="14">
                  <c:v>5.9812156685974845E-2</c:v>
                </c:pt>
                <c:pt idx="15">
                  <c:v>6.545672348577812E-2</c:v>
                </c:pt>
                <c:pt idx="16">
                  <c:v>6.9415847315375659E-2</c:v>
                </c:pt>
                <c:pt idx="17">
                  <c:v>7.1334983239309466E-2</c:v>
                </c:pt>
                <c:pt idx="18">
                  <c:v>7.1037237998345631E-2</c:v>
                </c:pt>
                <c:pt idx="19">
                  <c:v>6.8550266026110737E-2</c:v>
                </c:pt>
                <c:pt idx="20">
                  <c:v>6.4102033138605491E-2</c:v>
                </c:pt>
                <c:pt idx="21">
                  <c:v>5.8086347245391287E-2</c:v>
                </c:pt>
                <c:pt idx="22">
                  <c:v>5.1005378548808829E-2</c:v>
                </c:pt>
                <c:pt idx="23">
                  <c:v>4.3400788792993E-2</c:v>
                </c:pt>
                <c:pt idx="24">
                  <c:v>3.5786498559113013E-2</c:v>
                </c:pt>
                <c:pt idx="25">
                  <c:v>2.8594410598541169E-2</c:v>
                </c:pt>
                <c:pt idx="26">
                  <c:v>2.214034162900503E-2</c:v>
                </c:pt>
                <c:pt idx="27">
                  <c:v>1.6612328624135048E-2</c:v>
                </c:pt>
                <c:pt idx="28">
                  <c:v>1.2078789508183595E-2</c:v>
                </c:pt>
                <c:pt idx="29">
                  <c:v>8.5108012684061828E-3</c:v>
                </c:pt>
                <c:pt idx="30">
                  <c:v>5.811476684167944E-3</c:v>
                </c:pt>
                <c:pt idx="31">
                  <c:v>3.845926878013846E-3</c:v>
                </c:pt>
                <c:pt idx="32">
                  <c:v>2.4670146746369843E-3</c:v>
                </c:pt>
                <c:pt idx="33">
                  <c:v>1.5343005265920297E-3</c:v>
                </c:pt>
                <c:pt idx="34">
                  <c:v>9.2561652645150748E-4</c:v>
                </c:pt>
                <c:pt idx="35">
                  <c:v>5.4217263308546117E-4</c:v>
                </c:pt>
                <c:pt idx="36">
                  <c:v>3.088724759556214E-4</c:v>
                </c:pt>
                <c:pt idx="37">
                  <c:v>1.7167783410112914E-4</c:v>
                </c:pt>
                <c:pt idx="38">
                  <c:v>9.3609867172106032E-5</c:v>
                </c:pt>
                <c:pt idx="39">
                  <c:v>5.0529840984660061E-5</c:v>
                </c:pt>
                <c:pt idx="40">
                  <c:v>2.7376764995827813E-5</c:v>
                </c:pt>
                <c:pt idx="41">
                  <c:v>1.515854355264841E-5</c:v>
                </c:pt>
                <c:pt idx="42">
                  <c:v>8.7358306591418736E-6</c:v>
                </c:pt>
                <c:pt idx="43">
                  <c:v>5.2970874998882463E-6</c:v>
                </c:pt>
                <c:pt idx="44">
                  <c:v>3.3701089425726961E-6</c:v>
                </c:pt>
                <c:pt idx="45">
                  <c:v>2.2156926406177515E-6</c:v>
                </c:pt>
                <c:pt idx="46">
                  <c:v>1.4751617753133281E-6</c:v>
                </c:pt>
                <c:pt idx="47">
                  <c:v>9.7651019869696669E-7</c:v>
                </c:pt>
                <c:pt idx="48">
                  <c:v>6.3410101262255499E-7</c:v>
                </c:pt>
                <c:pt idx="49">
                  <c:v>4.0035605863304057E-7</c:v>
                </c:pt>
                <c:pt idx="50">
                  <c:v>2.444491564259977E-7</c:v>
                </c:pt>
              </c:numCache>
            </c:numRef>
          </c:val>
        </c:ser>
        <c:ser>
          <c:idx val="18"/>
          <c:order val="18"/>
          <c:tx>
            <c:strRef>
              <c:f>'Mixture of 2 Gaussian dist.'!$B$168</c:f>
              <c:strCache>
                <c:ptCount val="1"/>
                <c:pt idx="0">
                  <c:v>0.451501458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dist.'!$C$168:$BA$168</c:f>
              <c:numCache>
                <c:formatCode>General</c:formatCode>
                <c:ptCount val="51"/>
                <c:pt idx="0">
                  <c:v>5.3072502237488429E-4</c:v>
                </c:pt>
                <c:pt idx="1">
                  <c:v>9.0728209040564502E-4</c:v>
                </c:pt>
                <c:pt idx="2">
                  <c:v>1.5029851105042313E-3</c:v>
                </c:pt>
                <c:pt idx="3">
                  <c:v>2.4127181124101666E-3</c:v>
                </c:pt>
                <c:pt idx="4">
                  <c:v>3.7531684500282836E-3</c:v>
                </c:pt>
                <c:pt idx="5">
                  <c:v>5.6575590482919116E-3</c:v>
                </c:pt>
                <c:pt idx="6">
                  <c:v>8.2641787093093895E-3</c:v>
                </c:pt>
                <c:pt idx="7">
                  <c:v>1.1697952964358781E-2</c:v>
                </c:pt>
                <c:pt idx="8">
                  <c:v>1.6045734713760154E-2</c:v>
                </c:pt>
                <c:pt idx="9">
                  <c:v>2.1327940018195761E-2</c:v>
                </c:pt>
                <c:pt idx="10">
                  <c:v>2.74712094299067E-2</c:v>
                </c:pt>
                <c:pt idx="11">
                  <c:v>3.4288320652848411E-2</c:v>
                </c:pt>
                <c:pt idx="12">
                  <c:v>4.147192711078964E-2</c:v>
                </c:pt>
                <c:pt idx="13">
                  <c:v>4.860733205502115E-2</c:v>
                </c:pt>
                <c:pt idx="14">
                  <c:v>5.5206335263700244E-2</c:v>
                </c:pt>
                <c:pt idx="15">
                  <c:v>6.0759699840124616E-2</c:v>
                </c:pt>
                <c:pt idx="16">
                  <c:v>6.4801027024778121E-2</c:v>
                </c:pt>
                <c:pt idx="17">
                  <c:v>6.6971145737177148E-2</c:v>
                </c:pt>
                <c:pt idx="18">
                  <c:v>6.7070747245441181E-2</c:v>
                </c:pt>
                <c:pt idx="19">
                  <c:v>6.509058120942593E-2</c:v>
                </c:pt>
                <c:pt idx="20">
                  <c:v>6.1212873884126669E-2</c:v>
                </c:pt>
                <c:pt idx="21">
                  <c:v>5.5783667584348696E-2</c:v>
                </c:pt>
                <c:pt idx="22">
                  <c:v>4.9261900107903753E-2</c:v>
                </c:pt>
                <c:pt idx="23">
                  <c:v>4.2155604615893877E-2</c:v>
                </c:pt>
                <c:pt idx="24">
                  <c:v>3.4957479972102329E-2</c:v>
                </c:pt>
                <c:pt idx="25">
                  <c:v>2.8090968770575465E-2</c:v>
                </c:pt>
                <c:pt idx="26">
                  <c:v>2.1874469912899111E-2</c:v>
                </c:pt>
                <c:pt idx="27">
                  <c:v>1.6506595476397167E-2</c:v>
                </c:pt>
                <c:pt idx="28">
                  <c:v>1.2070814592414967E-2</c:v>
                </c:pt>
                <c:pt idx="29">
                  <c:v>8.5544999490382717E-3</c:v>
                </c:pt>
                <c:pt idx="30">
                  <c:v>5.8758533385696067E-3</c:v>
                </c:pt>
                <c:pt idx="31">
                  <c:v>3.9123920123859393E-3</c:v>
                </c:pt>
                <c:pt idx="32">
                  <c:v>2.5261397222468064E-3</c:v>
                </c:pt>
                <c:pt idx="33">
                  <c:v>1.5827026386846679E-3</c:v>
                </c:pt>
                <c:pt idx="34">
                  <c:v>9.6338728680919414E-4</c:v>
                </c:pt>
                <c:pt idx="35">
                  <c:v>5.7101069133868763E-4</c:v>
                </c:pt>
                <c:pt idx="36">
                  <c:v>3.3089578963986537E-4</c:v>
                </c:pt>
                <c:pt idx="37">
                  <c:v>1.8878746010565528E-4</c:v>
                </c:pt>
                <c:pt idx="38">
                  <c:v>1.0724166675907795E-4</c:v>
                </c:pt>
                <c:pt idx="39">
                  <c:v>6.1640452193076169E-5</c:v>
                </c:pt>
                <c:pt idx="40">
                  <c:v>3.6543196075679583E-5</c:v>
                </c:pt>
                <c:pt idx="41">
                  <c:v>2.2709785284370563E-5</c:v>
                </c:pt>
                <c:pt idx="42">
                  <c:v>1.4869913818944334E-5</c:v>
                </c:pt>
                <c:pt idx="43">
                  <c:v>1.0163653898977804E-5</c:v>
                </c:pt>
                <c:pt idx="44">
                  <c:v>7.1161024004076513E-6</c:v>
                </c:pt>
                <c:pt idx="45">
                  <c:v>5.001370402042871E-6</c:v>
                </c:pt>
                <c:pt idx="46">
                  <c:v>3.4711753160207952E-6</c:v>
                </c:pt>
                <c:pt idx="47">
                  <c:v>2.3523394494030591E-6</c:v>
                </c:pt>
                <c:pt idx="48">
                  <c:v>1.5455080639939015E-6</c:v>
                </c:pt>
                <c:pt idx="49">
                  <c:v>9.8025753042493277E-7</c:v>
                </c:pt>
                <c:pt idx="50">
                  <c:v>5.9872250343250728E-7</c:v>
                </c:pt>
              </c:numCache>
            </c:numRef>
          </c:val>
        </c:ser>
        <c:ser>
          <c:idx val="19"/>
          <c:order val="19"/>
          <c:tx>
            <c:strRef>
              <c:f>'Mixture of 2 Gaussian dist.'!$B$169</c:f>
              <c:strCache>
                <c:ptCount val="1"/>
                <c:pt idx="0">
                  <c:v>0.642688126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dist.'!$C$169:$BA$169</c:f>
              <c:numCache>
                <c:formatCode>General</c:formatCode>
                <c:ptCount val="51"/>
                <c:pt idx="0">
                  <c:v>4.3604944407590494E-4</c:v>
                </c:pt>
                <c:pt idx="1">
                  <c:v>7.4967048252016827E-4</c:v>
                </c:pt>
                <c:pt idx="2">
                  <c:v>1.2489488474840284E-3</c:v>
                </c:pt>
                <c:pt idx="3">
                  <c:v>2.0163153574384936E-3</c:v>
                </c:pt>
                <c:pt idx="4">
                  <c:v>3.1543641663045077E-3</c:v>
                </c:pt>
                <c:pt idx="5">
                  <c:v>4.7819471184871306E-3</c:v>
                </c:pt>
                <c:pt idx="6">
                  <c:v>7.0248535359343726E-3</c:v>
                </c:pt>
                <c:pt idx="7">
                  <c:v>1.000021517352904E-2</c:v>
                </c:pt>
                <c:pt idx="8">
                  <c:v>1.3794977033199053E-2</c:v>
                </c:pt>
                <c:pt idx="9">
                  <c:v>1.8440478450131786E-2</c:v>
                </c:pt>
                <c:pt idx="10">
                  <c:v>2.3887073958850098E-2</c:v>
                </c:pt>
                <c:pt idx="11">
                  <c:v>2.9984256868163847E-2</c:v>
                </c:pt>
                <c:pt idx="12">
                  <c:v>3.6472303367987187E-2</c:v>
                </c:pt>
                <c:pt idx="13">
                  <c:v>4.2990516218028609E-2</c:v>
                </c:pt>
                <c:pt idx="14">
                  <c:v>4.9104545513073868E-2</c:v>
                </c:pt>
                <c:pt idx="15">
                  <c:v>5.435134556990099E-2</c:v>
                </c:pt>
                <c:pt idx="16">
                  <c:v>5.8295962490334668E-2</c:v>
                </c:pt>
                <c:pt idx="17">
                  <c:v>6.0590736791653006E-2</c:v>
                </c:pt>
                <c:pt idx="18">
                  <c:v>6.1025814799036938E-2</c:v>
                </c:pt>
                <c:pt idx="19">
                  <c:v>5.9560806942452464E-2</c:v>
                </c:pt>
                <c:pt idx="20">
                  <c:v>5.6330975486492407E-2</c:v>
                </c:pt>
                <c:pt idx="21">
                  <c:v>5.1626639147085984E-2</c:v>
                </c:pt>
                <c:pt idx="22">
                  <c:v>4.5850141379830379E-2</c:v>
                </c:pt>
                <c:pt idx="23">
                  <c:v>3.9459220894883053E-2</c:v>
                </c:pt>
                <c:pt idx="24">
                  <c:v>3.2907804559650027E-2</c:v>
                </c:pt>
                <c:pt idx="25">
                  <c:v>2.6594702050941658E-2</c:v>
                </c:pt>
                <c:pt idx="26">
                  <c:v>2.0827817460280815E-2</c:v>
                </c:pt>
                <c:pt idx="27">
                  <c:v>1.5807314916239226E-2</c:v>
                </c:pt>
                <c:pt idx="28">
                  <c:v>1.162691965614867E-2</c:v>
                </c:pt>
                <c:pt idx="29">
                  <c:v>8.2892602373088459E-3</c:v>
                </c:pt>
                <c:pt idx="30">
                  <c:v>5.7294573262233603E-3</c:v>
                </c:pt>
                <c:pt idx="31">
                  <c:v>3.8410911838874114E-3</c:v>
                </c:pt>
                <c:pt idx="32">
                  <c:v>2.4998473101858249E-3</c:v>
                </c:pt>
                <c:pt idx="33">
                  <c:v>1.5819412822693172E-3</c:v>
                </c:pt>
                <c:pt idx="34">
                  <c:v>9.762621568884458E-4</c:v>
                </c:pt>
                <c:pt idx="35">
                  <c:v>5.9062303314504246E-4</c:v>
                </c:pt>
                <c:pt idx="36">
                  <c:v>3.5337597006129459E-4</c:v>
                </c:pt>
                <c:pt idx="37">
                  <c:v>2.1195301925887205E-4</c:v>
                </c:pt>
                <c:pt idx="38">
                  <c:v>1.2978263682924241E-4</c:v>
                </c:pt>
                <c:pt idx="39">
                  <c:v>8.26912893101484E-5</c:v>
                </c:pt>
                <c:pt idx="40">
                  <c:v>5.5500401846447469E-5</c:v>
                </c:pt>
                <c:pt idx="41">
                  <c:v>3.9178719068889728E-5</c:v>
                </c:pt>
                <c:pt idx="42">
                  <c:v>2.8658844685207189E-5</c:v>
                </c:pt>
                <c:pt idx="43">
                  <c:v>2.1277566905404611E-5</c:v>
                </c:pt>
                <c:pt idx="44">
                  <c:v>1.5730984782643476E-5</c:v>
                </c:pt>
                <c:pt idx="45">
                  <c:v>1.1418826124158673E-5</c:v>
                </c:pt>
                <c:pt idx="46">
                  <c:v>8.0630475943137903E-6</c:v>
                </c:pt>
                <c:pt idx="47">
                  <c:v>5.5072360271183126E-6</c:v>
                </c:pt>
                <c:pt idx="48">
                  <c:v>3.6264239897962472E-6</c:v>
                </c:pt>
                <c:pt idx="49">
                  <c:v>2.2977176609913633E-6</c:v>
                </c:pt>
                <c:pt idx="50">
                  <c:v>1.399285305884428E-6</c:v>
                </c:pt>
              </c:numCache>
            </c:numRef>
          </c:val>
        </c:ser>
        <c:ser>
          <c:idx val="20"/>
          <c:order val="20"/>
          <c:tx>
            <c:strRef>
              <c:f>'Mixture of 2 Gaussian dist.'!$B$170</c:f>
              <c:strCache>
                <c:ptCount val="1"/>
                <c:pt idx="0">
                  <c:v>0.833874794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dist.'!$C$170:$BA$170</c:f>
              <c:numCache>
                <c:formatCode>General</c:formatCode>
                <c:ptCount val="51"/>
                <c:pt idx="0">
                  <c:v>3.4525122614426833E-4</c:v>
                </c:pt>
                <c:pt idx="1">
                  <c:v>5.9694154310541917E-4</c:v>
                </c:pt>
                <c:pt idx="2">
                  <c:v>1.0001564597926925E-3</c:v>
                </c:pt>
                <c:pt idx="3">
                  <c:v>1.6238415541838832E-3</c:v>
                </c:pt>
                <c:pt idx="4">
                  <c:v>2.5548118593297321E-3</c:v>
                </c:pt>
                <c:pt idx="5">
                  <c:v>3.8950565043574564E-3</c:v>
                </c:pt>
                <c:pt idx="6">
                  <c:v>5.7545075885590121E-3</c:v>
                </c:pt>
                <c:pt idx="7">
                  <c:v>8.238386031530983E-3</c:v>
                </c:pt>
                <c:pt idx="8">
                  <c:v>1.1429195861910959E-2</c:v>
                </c:pt>
                <c:pt idx="9">
                  <c:v>1.5364866055133109E-2</c:v>
                </c:pt>
                <c:pt idx="10">
                  <c:v>2.0016191536597783E-2</c:v>
                </c:pt>
                <c:pt idx="11">
                  <c:v>2.5268163836153386E-2</c:v>
                </c:pt>
                <c:pt idx="12">
                  <c:v>3.0910461337543538E-2</c:v>
                </c:pt>
                <c:pt idx="13">
                  <c:v>3.6641804854857615E-2</c:v>
                </c:pt>
                <c:pt idx="14">
                  <c:v>4.2090859841586066E-2</c:v>
                </c:pt>
                <c:pt idx="15">
                  <c:v>4.6853097994532404E-2</c:v>
                </c:pt>
                <c:pt idx="16">
                  <c:v>5.0539205657599721E-2</c:v>
                </c:pt>
                <c:pt idx="17">
                  <c:v>5.2827263982864789E-2</c:v>
                </c:pt>
                <c:pt idx="18">
                  <c:v>5.3509079753936595E-2</c:v>
                </c:pt>
                <c:pt idx="19">
                  <c:v>5.252143819205151E-2</c:v>
                </c:pt>
                <c:pt idx="20">
                  <c:v>4.9955778458288788E-2</c:v>
                </c:pt>
                <c:pt idx="21">
                  <c:v>4.6044242316157322E-2</c:v>
                </c:pt>
                <c:pt idx="22">
                  <c:v>4.1125048866498641E-2</c:v>
                </c:pt>
                <c:pt idx="23">
                  <c:v>3.5594355282938639E-2</c:v>
                </c:pt>
                <c:pt idx="24">
                  <c:v>2.9854085988746171E-2</c:v>
                </c:pt>
                <c:pt idx="25">
                  <c:v>2.4265161569482677E-2</c:v>
                </c:pt>
                <c:pt idx="26">
                  <c:v>1.9113362192271388E-2</c:v>
                </c:pt>
                <c:pt idx="27">
                  <c:v>1.4591528584111403E-2</c:v>
                </c:pt>
                <c:pt idx="28">
                  <c:v>1.0798012154996964E-2</c:v>
                </c:pt>
                <c:pt idx="29">
                  <c:v>7.7482122565036603E-3</c:v>
                </c:pt>
                <c:pt idx="30">
                  <c:v>5.3942879937916256E-3</c:v>
                </c:pt>
                <c:pt idx="31">
                  <c:v>3.6478316745678389E-3</c:v>
                </c:pt>
                <c:pt idx="32">
                  <c:v>2.4011574685357186E-3</c:v>
                </c:pt>
                <c:pt idx="33">
                  <c:v>1.544378106057195E-3</c:v>
                </c:pt>
                <c:pt idx="34">
                  <c:v>9.7707555092332149E-4</c:v>
                </c:pt>
                <c:pt idx="35">
                  <c:v>6.1471203264238218E-4</c:v>
                </c:pt>
                <c:pt idx="36">
                  <c:v>3.9077292433310008E-4</c:v>
                </c:pt>
                <c:pt idx="37">
                  <c:v>2.5597235281578075E-4</c:v>
                </c:pt>
                <c:pt idx="38">
                  <c:v>1.7580390850375051E-4</c:v>
                </c:pt>
                <c:pt idx="39">
                  <c:v>1.2744928029598401E-4</c:v>
                </c:pt>
                <c:pt idx="40">
                  <c:v>9.6719123720609705E-5</c:v>
                </c:pt>
                <c:pt idx="41">
                  <c:v>7.5395526810217674E-5</c:v>
                </c:pt>
                <c:pt idx="42">
                  <c:v>5.912115585443698E-5</c:v>
                </c:pt>
                <c:pt idx="43">
                  <c:v>4.5841137964931069E-5</c:v>
                </c:pt>
                <c:pt idx="44">
                  <c:v>3.4731835459825938E-5</c:v>
                </c:pt>
                <c:pt idx="45">
                  <c:v>2.5522169797516255E-5</c:v>
                </c:pt>
                <c:pt idx="46">
                  <c:v>1.8108785242757174E-5</c:v>
                </c:pt>
                <c:pt idx="47">
                  <c:v>1.2374207124923872E-5</c:v>
                </c:pt>
                <c:pt idx="48">
                  <c:v>8.1312008776618477E-6</c:v>
                </c:pt>
                <c:pt idx="49">
                  <c:v>5.1336969794074506E-6</c:v>
                </c:pt>
                <c:pt idx="50">
                  <c:v>3.1126537646878397E-6</c:v>
                </c:pt>
              </c:numCache>
            </c:numRef>
          </c:val>
        </c:ser>
        <c:ser>
          <c:idx val="21"/>
          <c:order val="21"/>
          <c:tx>
            <c:strRef>
              <c:f>'Mixture of 2 Gaussian dist.'!$B$171</c:f>
              <c:strCache>
                <c:ptCount val="1"/>
                <c:pt idx="0">
                  <c:v>1.025061462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dist.'!$C$171:$BA$171</c:f>
              <c:numCache>
                <c:formatCode>General</c:formatCode>
                <c:ptCount val="51"/>
                <c:pt idx="0">
                  <c:v>2.6343170423972801E-4</c:v>
                </c:pt>
                <c:pt idx="1">
                  <c:v>4.5806437410925307E-4</c:v>
                </c:pt>
                <c:pt idx="2">
                  <c:v>7.7183515641535388E-4</c:v>
                </c:pt>
                <c:pt idx="3">
                  <c:v>1.2602658352557604E-3</c:v>
                </c:pt>
                <c:pt idx="4">
                  <c:v>1.9940651149514565E-3</c:v>
                </c:pt>
                <c:pt idx="5">
                  <c:v>3.0574268466425965E-3</c:v>
                </c:pt>
                <c:pt idx="6">
                  <c:v>4.5426824564203244E-3</c:v>
                </c:pt>
                <c:pt idx="7">
                  <c:v>6.5404593515093626E-3</c:v>
                </c:pt>
                <c:pt idx="8">
                  <c:v>9.125227240424201E-3</c:v>
                </c:pt>
                <c:pt idx="9">
                  <c:v>1.2337259278193921E-2</c:v>
                </c:pt>
                <c:pt idx="10">
                  <c:v>1.616342014996577E-2</c:v>
                </c:pt>
                <c:pt idx="11">
                  <c:v>2.0520474521241672E-2</c:v>
                </c:pt>
                <c:pt idx="12">
                  <c:v>2.5245333067594706E-2</c:v>
                </c:pt>
                <c:pt idx="13">
                  <c:v>3.0096388296465541E-2</c:v>
                </c:pt>
                <c:pt idx="14">
                  <c:v>3.4768602537559895E-2</c:v>
                </c:pt>
                <c:pt idx="15">
                  <c:v>3.8922406186017007E-2</c:v>
                </c:pt>
                <c:pt idx="16">
                  <c:v>4.2223258655396306E-2</c:v>
                </c:pt>
                <c:pt idx="17">
                  <c:v>4.4385743976658523E-2</c:v>
                </c:pt>
                <c:pt idx="18">
                  <c:v>4.5214225190257848E-2</c:v>
                </c:pt>
                <c:pt idx="19">
                  <c:v>4.4632048848344735E-2</c:v>
                </c:pt>
                <c:pt idx="20">
                  <c:v>4.2693262906189931E-2</c:v>
                </c:pt>
                <c:pt idx="21">
                  <c:v>3.9574371769510966E-2</c:v>
                </c:pt>
                <c:pt idx="22">
                  <c:v>3.554787908177811E-2</c:v>
                </c:pt>
                <c:pt idx="23">
                  <c:v>3.0943122512177724E-2</c:v>
                </c:pt>
                <c:pt idx="24">
                  <c:v>2.6102200168129749E-2</c:v>
                </c:pt>
                <c:pt idx="25">
                  <c:v>2.1339107252318808E-2</c:v>
                </c:pt>
                <c:pt idx="26">
                  <c:v>1.6908631244629432E-2</c:v>
                </c:pt>
                <c:pt idx="27">
                  <c:v>1.2988708068049916E-2</c:v>
                </c:pt>
                <c:pt idx="28">
                  <c:v>9.6767132359420506E-3</c:v>
                </c:pt>
                <c:pt idx="29">
                  <c:v>6.9974131694285676E-3</c:v>
                </c:pt>
                <c:pt idx="30">
                  <c:v>4.9186113051740169E-3</c:v>
                </c:pt>
                <c:pt idx="31">
                  <c:v>3.3700686407121755E-3</c:v>
                </c:pt>
                <c:pt idx="32">
                  <c:v>2.2618684859274821E-3</c:v>
                </c:pt>
                <c:pt idx="33">
                  <c:v>1.4996135608110115E-3</c:v>
                </c:pt>
                <c:pt idx="34">
                  <c:v>9.952244109285946E-4</c:v>
                </c:pt>
                <c:pt idx="35">
                  <c:v>6.7328229068189293E-4</c:v>
                </c:pt>
                <c:pt idx="36">
                  <c:v>4.7362951359399832E-4</c:v>
                </c:pt>
                <c:pt idx="37">
                  <c:v>3.5127955381167796E-4</c:v>
                </c:pt>
                <c:pt idx="38">
                  <c:v>2.7469112346053816E-4</c:v>
                </c:pt>
                <c:pt idx="39">
                  <c:v>2.2326718374389551E-4</c:v>
                </c:pt>
                <c:pt idx="40">
                  <c:v>1.8468245616150739E-4</c:v>
                </c:pt>
                <c:pt idx="41">
                  <c:v>1.5240806351401475E-4</c:v>
                </c:pt>
                <c:pt idx="42">
                  <c:v>1.2362602127183824E-4</c:v>
                </c:pt>
                <c:pt idx="43">
                  <c:v>9.760952771709678E-5</c:v>
                </c:pt>
                <c:pt idx="44">
                  <c:v>7.4571027549908997E-5</c:v>
                </c:pt>
                <c:pt idx="45">
                  <c:v>5.4932248035676222E-5</c:v>
                </c:pt>
                <c:pt idx="46">
                  <c:v>3.8939526720325987E-5</c:v>
                </c:pt>
                <c:pt idx="47">
                  <c:v>2.65314156426324E-5</c:v>
                </c:pt>
                <c:pt idx="48">
                  <c:v>1.7364042561621069E-5</c:v>
                </c:pt>
                <c:pt idx="49">
                  <c:v>1.0911835904716313E-5</c:v>
                </c:pt>
                <c:pt idx="50">
                  <c:v>6.5827385089610766E-6</c:v>
                </c:pt>
              </c:numCache>
            </c:numRef>
          </c:val>
        </c:ser>
        <c:ser>
          <c:idx val="22"/>
          <c:order val="22"/>
          <c:tx>
            <c:strRef>
              <c:f>'Mixture of 2 Gaussian dist.'!$B$172</c:f>
              <c:strCache>
                <c:ptCount val="1"/>
                <c:pt idx="0">
                  <c:v>1.21624813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dist.'!$C$172:$BA$172</c:f>
              <c:numCache>
                <c:formatCode>General</c:formatCode>
                <c:ptCount val="51"/>
                <c:pt idx="0">
                  <c:v>1.9370203026165781E-4</c:v>
                </c:pt>
                <c:pt idx="1">
                  <c:v>3.3873069037059769E-4</c:v>
                </c:pt>
                <c:pt idx="2">
                  <c:v>5.7400343045215614E-4</c:v>
                </c:pt>
                <c:pt idx="3">
                  <c:v>9.4257082841889056E-4</c:v>
                </c:pt>
                <c:pt idx="4">
                  <c:v>1.4998680970578304E-3</c:v>
                </c:pt>
                <c:pt idx="5">
                  <c:v>2.3127660662992902E-3</c:v>
                </c:pt>
                <c:pt idx="6">
                  <c:v>3.4558104358387064E-3</c:v>
                </c:pt>
                <c:pt idx="7">
                  <c:v>5.0038891832125815E-3</c:v>
                </c:pt>
                <c:pt idx="8">
                  <c:v>7.0210977738988439E-3</c:v>
                </c:pt>
                <c:pt idx="9">
                  <c:v>9.5464505079794863E-3</c:v>
                </c:pt>
                <c:pt idx="10">
                  <c:v>1.2578197139521323E-2</c:v>
                </c:pt>
                <c:pt idx="11">
                  <c:v>1.6059589426796091E-2</c:v>
                </c:pt>
                <c:pt idx="12">
                  <c:v>1.9869642435016776E-2</c:v>
                </c:pt>
                <c:pt idx="13">
                  <c:v>2.3822385425826452E-2</c:v>
                </c:pt>
                <c:pt idx="14">
                  <c:v>2.7677065536071188E-2</c:v>
                </c:pt>
                <c:pt idx="15">
                  <c:v>3.1159786900677004E-2</c:v>
                </c:pt>
                <c:pt idx="16">
                  <c:v>3.3994499182028265E-2</c:v>
                </c:pt>
                <c:pt idx="17">
                  <c:v>3.5938731299393463E-2</c:v>
                </c:pt>
                <c:pt idx="18">
                  <c:v>3.6817744174202902E-2</c:v>
                </c:pt>
                <c:pt idx="19">
                  <c:v>3.6550457999583535E-2</c:v>
                </c:pt>
                <c:pt idx="20">
                  <c:v>3.5161833253428296E-2</c:v>
                </c:pt>
                <c:pt idx="21">
                  <c:v>3.2779098983103015E-2</c:v>
                </c:pt>
                <c:pt idx="22">
                  <c:v>2.9612635236356787E-2</c:v>
                </c:pt>
                <c:pt idx="23">
                  <c:v>2.592550974307465E-2</c:v>
                </c:pt>
                <c:pt idx="24">
                  <c:v>2.1997794647881021E-2</c:v>
                </c:pt>
                <c:pt idx="25">
                  <c:v>1.8092343831763155E-2</c:v>
                </c:pt>
                <c:pt idx="26">
                  <c:v>1.4427678738415006E-2</c:v>
                </c:pt>
                <c:pt idx="27">
                  <c:v>1.1161448230707006E-2</c:v>
                </c:pt>
                <c:pt idx="28">
                  <c:v>8.3853039496105102E-3</c:v>
                </c:pt>
                <c:pt idx="29">
                  <c:v>6.1296933113746104E-3</c:v>
                </c:pt>
                <c:pt idx="30">
                  <c:v>4.3755398524928345E-3</c:v>
                </c:pt>
                <c:pt idx="31">
                  <c:v>3.0692539615747483E-3</c:v>
                </c:pt>
                <c:pt idx="32">
                  <c:v>2.1378790073899425E-3</c:v>
                </c:pt>
                <c:pt idx="33">
                  <c:v>1.5021020939397427E-3</c:v>
                </c:pt>
                <c:pt idx="34">
                  <c:v>1.0859579685687779E-3</c:v>
                </c:pt>
                <c:pt idx="35">
                  <c:v>8.2301154450257021E-4</c:v>
                </c:pt>
                <c:pt idx="36">
                  <c:v>6.5944454543131808E-4</c:v>
                </c:pt>
                <c:pt idx="37">
                  <c:v>5.5476953755016713E-4</c:v>
                </c:pt>
                <c:pt idx="38">
                  <c:v>4.8092953791610354E-4</c:v>
                </c:pt>
                <c:pt idx="39">
                  <c:v>4.2043301090377447E-4</c:v>
                </c:pt>
                <c:pt idx="40">
                  <c:v>3.6402598838958472E-4</c:v>
                </c:pt>
                <c:pt idx="41">
                  <c:v>3.0827355755226864E-4</c:v>
                </c:pt>
                <c:pt idx="42">
                  <c:v>2.5332479605088008E-4</c:v>
                </c:pt>
                <c:pt idx="43">
                  <c:v>2.010546407717752E-4</c:v>
                </c:pt>
                <c:pt idx="44">
                  <c:v>1.5369615452211717E-4</c:v>
                </c:pt>
                <c:pt idx="45">
                  <c:v>1.129921149500825E-4</c:v>
                </c:pt>
                <c:pt idx="46">
                  <c:v>7.9814898270430008E-5</c:v>
                </c:pt>
                <c:pt idx="47">
                  <c:v>5.414398795882525E-5</c:v>
                </c:pt>
                <c:pt idx="48">
                  <c:v>3.5263103998746847E-5</c:v>
                </c:pt>
                <c:pt idx="49">
                  <c:v>2.2045594121901622E-5</c:v>
                </c:pt>
                <c:pt idx="50">
                  <c:v>1.3228528135660543E-5</c:v>
                </c:pt>
              </c:numCache>
            </c:numRef>
          </c:val>
        </c:ser>
        <c:ser>
          <c:idx val="23"/>
          <c:order val="23"/>
          <c:tx>
            <c:strRef>
              <c:f>'Mixture of 2 Gaussian dist.'!$B$173</c:f>
              <c:strCache>
                <c:ptCount val="1"/>
                <c:pt idx="0">
                  <c:v>1.407434798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dist.'!$C$173:$BA$173</c:f>
              <c:numCache>
                <c:formatCode>General</c:formatCode>
                <c:ptCount val="51"/>
                <c:pt idx="0">
                  <c:v>1.3725672219458475E-4</c:v>
                </c:pt>
                <c:pt idx="1">
                  <c:v>2.4138812315355768E-4</c:v>
                </c:pt>
                <c:pt idx="2">
                  <c:v>4.1137485173386637E-4</c:v>
                </c:pt>
                <c:pt idx="3">
                  <c:v>6.7935870663069192E-4</c:v>
                </c:pt>
                <c:pt idx="4">
                  <c:v>1.0871766562912228E-3</c:v>
                </c:pt>
                <c:pt idx="5">
                  <c:v>1.6859343448139415E-3</c:v>
                </c:pt>
                <c:pt idx="6">
                  <c:v>2.5334991527869756E-3</c:v>
                </c:pt>
                <c:pt idx="7">
                  <c:v>3.689269957356911E-3</c:v>
                </c:pt>
                <c:pt idx="8">
                  <c:v>5.20594618111058E-3</c:v>
                </c:pt>
                <c:pt idx="9">
                  <c:v>7.1186637692917708E-3</c:v>
                </c:pt>
                <c:pt idx="10">
                  <c:v>9.4327181403158957E-3</c:v>
                </c:pt>
                <c:pt idx="11">
                  <c:v>1.2111970640723963E-2</c:v>
                </c:pt>
                <c:pt idx="12">
                  <c:v>1.5070662637970519E-2</c:v>
                </c:pt>
                <c:pt idx="13">
                  <c:v>1.8171446463103119E-2</c:v>
                </c:pt>
                <c:pt idx="14">
                  <c:v>2.1231775704152116E-2</c:v>
                </c:pt>
                <c:pt idx="15">
                  <c:v>2.4039361333161671E-2</c:v>
                </c:pt>
                <c:pt idx="16">
                  <c:v>2.6375432072090154E-2</c:v>
                </c:pt>
                <c:pt idx="17">
                  <c:v>2.8042507509484674E-2</c:v>
                </c:pt>
                <c:pt idx="18">
                  <c:v>2.8891885214813791E-2</c:v>
                </c:pt>
                <c:pt idx="19">
                  <c:v>2.8845570301209243E-2</c:v>
                </c:pt>
                <c:pt idx="20">
                  <c:v>2.7908187230612308E-2</c:v>
                </c:pt>
                <c:pt idx="21">
                  <c:v>2.6166381376285755E-2</c:v>
                </c:pt>
                <c:pt idx="22">
                  <c:v>2.3775850492133752E-2</c:v>
                </c:pt>
                <c:pt idx="23">
                  <c:v>2.0938736085109984E-2</c:v>
                </c:pt>
                <c:pt idx="24">
                  <c:v>1.7875957781457442E-2</c:v>
                </c:pt>
                <c:pt idx="25">
                  <c:v>1.4799735341794136E-2</c:v>
                </c:pt>
                <c:pt idx="26">
                  <c:v>1.1890932987231298E-2</c:v>
                </c:pt>
                <c:pt idx="27">
                  <c:v>9.2842725173084926E-3</c:v>
                </c:pt>
                <c:pt idx="28">
                  <c:v>7.0624333992459886E-3</c:v>
                </c:pt>
                <c:pt idx="29">
                  <c:v>5.2581746970249308E-3</c:v>
                </c:pt>
                <c:pt idx="30">
                  <c:v>3.8623197799054717E-3</c:v>
                </c:pt>
                <c:pt idx="31">
                  <c:v>2.8349314375555493E-3</c:v>
                </c:pt>
                <c:pt idx="32">
                  <c:v>2.117201356859577E-3</c:v>
                </c:pt>
                <c:pt idx="33">
                  <c:v>1.6422305261096287E-3</c:v>
                </c:pt>
                <c:pt idx="34">
                  <c:v>1.3436743897198662E-3</c:v>
                </c:pt>
                <c:pt idx="35">
                  <c:v>1.161914155665162E-3</c:v>
                </c:pt>
                <c:pt idx="36">
                  <c:v>1.047863805852158E-3</c:v>
                </c:pt>
                <c:pt idx="37">
                  <c:v>9.6473064553701231E-4</c:v>
                </c:pt>
                <c:pt idx="38">
                  <c:v>8.8809921845038316E-4</c:v>
                </c:pt>
                <c:pt idx="39">
                  <c:v>8.0470604696750278E-4</c:v>
                </c:pt>
                <c:pt idx="40">
                  <c:v>7.1028255318201648E-4</c:v>
                </c:pt>
                <c:pt idx="41">
                  <c:v>6.068759524416827E-4</c:v>
                </c:pt>
                <c:pt idx="42">
                  <c:v>5.0008033049366658E-4</c:v>
                </c:pt>
                <c:pt idx="43">
                  <c:v>3.9658045792045384E-4</c:v>
                </c:pt>
                <c:pt idx="44">
                  <c:v>3.023092318353182E-4</c:v>
                </c:pt>
                <c:pt idx="45">
                  <c:v>2.2136172137980842E-4</c:v>
                </c:pt>
                <c:pt idx="46">
                  <c:v>1.5563770063422902E-4</c:v>
                </c:pt>
                <c:pt idx="47">
                  <c:v>1.0504871533911656E-4</c:v>
                </c:pt>
                <c:pt idx="48">
                  <c:v>6.8057182078713844E-5</c:v>
                </c:pt>
                <c:pt idx="49">
                  <c:v>4.2318630729169905E-5</c:v>
                </c:pt>
                <c:pt idx="50">
                  <c:v>2.525482595169435E-5</c:v>
                </c:pt>
              </c:numCache>
            </c:numRef>
          </c:val>
        </c:ser>
        <c:ser>
          <c:idx val="24"/>
          <c:order val="24"/>
          <c:tx>
            <c:strRef>
              <c:f>'Mixture of 2 Gaussian dist.'!$B$174</c:f>
              <c:strCache>
                <c:ptCount val="1"/>
                <c:pt idx="0">
                  <c:v>1.598621466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dist.'!$C$174:$BA$174</c:f>
              <c:numCache>
                <c:formatCode>General</c:formatCode>
                <c:ptCount val="51"/>
                <c:pt idx="0">
                  <c:v>9.3727361910163221E-5</c:v>
                </c:pt>
                <c:pt idx="1">
                  <c:v>1.6577176753087213E-4</c:v>
                </c:pt>
                <c:pt idx="2">
                  <c:v>2.8411509545198137E-4</c:v>
                </c:pt>
                <c:pt idx="3">
                  <c:v>4.7186483790442689E-4</c:v>
                </c:pt>
                <c:pt idx="4">
                  <c:v>7.5941730512428854E-4</c:v>
                </c:pt>
                <c:pt idx="5">
                  <c:v>1.1843578117476294E-3</c:v>
                </c:pt>
                <c:pt idx="6">
                  <c:v>1.7898842026127897E-3</c:v>
                </c:pt>
                <c:pt idx="7">
                  <c:v>2.6212383196733066E-3</c:v>
                </c:pt>
                <c:pt idx="8">
                  <c:v>3.7198690347309011E-3</c:v>
                </c:pt>
                <c:pt idx="9">
                  <c:v>5.1155032299723645E-3</c:v>
                </c:pt>
                <c:pt idx="10">
                  <c:v>6.8169271821966089E-3</c:v>
                </c:pt>
                <c:pt idx="11">
                  <c:v>8.8029561912952841E-3</c:v>
                </c:pt>
                <c:pt idx="12">
                  <c:v>1.1015597386407155E-2</c:v>
                </c:pt>
                <c:pt idx="13">
                  <c:v>1.3357564232796033E-2</c:v>
                </c:pt>
                <c:pt idx="14">
                  <c:v>1.5695904731751795E-2</c:v>
                </c:pt>
                <c:pt idx="15">
                  <c:v>1.787251424996263E-2</c:v>
                </c:pt>
                <c:pt idx="16">
                  <c:v>1.9720862618159331E-2</c:v>
                </c:pt>
                <c:pt idx="17">
                  <c:v>2.1086703098900487E-2</c:v>
                </c:pt>
                <c:pt idx="18">
                  <c:v>2.1849285115489888E-2</c:v>
                </c:pt>
                <c:pt idx="19">
                  <c:v>2.1939072317444224E-2</c:v>
                </c:pt>
                <c:pt idx="20">
                  <c:v>2.1348405702825597E-2</c:v>
                </c:pt>
                <c:pt idx="21">
                  <c:v>2.0132903675602186E-2</c:v>
                </c:pt>
                <c:pt idx="22">
                  <c:v>1.8403326647997029E-2</c:v>
                </c:pt>
                <c:pt idx="23">
                  <c:v>1.6309632803529098E-2</c:v>
                </c:pt>
                <c:pt idx="24">
                  <c:v>1.4020472708912587E-2</c:v>
                </c:pt>
                <c:pt idx="25">
                  <c:v>1.1702029868854056E-2</c:v>
                </c:pt>
                <c:pt idx="26">
                  <c:v>9.4998054256547112E-3</c:v>
                </c:pt>
                <c:pt idx="27">
                  <c:v>7.5258556422248624E-3</c:v>
                </c:pt>
                <c:pt idx="28">
                  <c:v>5.8525156757785034E-3</c:v>
                </c:pt>
                <c:pt idx="29">
                  <c:v>4.5122336867434174E-3</c:v>
                </c:pt>
                <c:pt idx="30">
                  <c:v>3.502148518670803E-3</c:v>
                </c:pt>
                <c:pt idx="31">
                  <c:v>2.7916266404040143E-3</c:v>
                </c:pt>
                <c:pt idx="32">
                  <c:v>2.3310710420317267E-3</c:v>
                </c:pt>
                <c:pt idx="33">
                  <c:v>2.0607194471640947E-3</c:v>
                </c:pt>
                <c:pt idx="34">
                  <c:v>1.9186161751238782E-3</c:v>
                </c:pt>
                <c:pt idx="35">
                  <c:v>1.8472920140301787E-3</c:v>
                </c:pt>
                <c:pt idx="36">
                  <c:v>1.7988636758312945E-3</c:v>
                </c:pt>
                <c:pt idx="37">
                  <c:v>1.7383281198825541E-3</c:v>
                </c:pt>
                <c:pt idx="38">
                  <c:v>1.6448908024152592E-3</c:v>
                </c:pt>
                <c:pt idx="39">
                  <c:v>1.5113205799168854E-3</c:v>
                </c:pt>
                <c:pt idx="40">
                  <c:v>1.3415795733551124E-3</c:v>
                </c:pt>
                <c:pt idx="41">
                  <c:v>1.1472628854290456E-3</c:v>
                </c:pt>
                <c:pt idx="42">
                  <c:v>9.4358862304881467E-4</c:v>
                </c:pt>
                <c:pt idx="43">
                  <c:v>7.4571211276981296E-4</c:v>
                </c:pt>
                <c:pt idx="44">
                  <c:v>5.6597691018776439E-4</c:v>
                </c:pt>
                <c:pt idx="45">
                  <c:v>4.1241470590253781E-4</c:v>
                </c:pt>
                <c:pt idx="46">
                  <c:v>2.8847101526831065E-4</c:v>
                </c:pt>
                <c:pt idx="47">
                  <c:v>1.9366862083503779E-4</c:v>
                </c:pt>
                <c:pt idx="48">
                  <c:v>1.2479004942483277E-4</c:v>
                </c:pt>
                <c:pt idx="49">
                  <c:v>7.7170146557235431E-5</c:v>
                </c:pt>
                <c:pt idx="50">
                  <c:v>4.5799263945855481E-5</c:v>
                </c:pt>
              </c:numCache>
            </c:numRef>
          </c:val>
        </c:ser>
        <c:ser>
          <c:idx val="25"/>
          <c:order val="25"/>
          <c:tx>
            <c:strRef>
              <c:f>'Mixture of 2 Gaussian dist.'!$B$175</c:f>
              <c:strCache>
                <c:ptCount val="1"/>
                <c:pt idx="0">
                  <c:v>1.789808134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dist.'!$C$175:$BA$175</c:f>
              <c:numCache>
                <c:formatCode>General</c:formatCode>
                <c:ptCount val="51"/>
                <c:pt idx="0">
                  <c:v>6.1678312458729478E-5</c:v>
                </c:pt>
                <c:pt idx="1">
                  <c:v>1.0970806563192158E-4</c:v>
                </c:pt>
                <c:pt idx="2">
                  <c:v>1.8909680836084878E-4</c:v>
                </c:pt>
                <c:pt idx="3">
                  <c:v>3.1584165453110144E-4</c:v>
                </c:pt>
                <c:pt idx="4">
                  <c:v>5.1120392506154679E-4</c:v>
                </c:pt>
                <c:pt idx="5">
                  <c:v>8.017860947606213E-4</c:v>
                </c:pt>
                <c:pt idx="6">
                  <c:v>1.2186035191181484E-3</c:v>
                </c:pt>
                <c:pt idx="7">
                  <c:v>1.7947580301693534E-3</c:v>
                </c:pt>
                <c:pt idx="8">
                  <c:v>2.5614681244816874E-3</c:v>
                </c:pt>
                <c:pt idx="9">
                  <c:v>3.542514113759766E-3</c:v>
                </c:pt>
                <c:pt idx="10">
                  <c:v>4.7475967757280727E-3</c:v>
                </c:pt>
                <c:pt idx="11">
                  <c:v>6.1656052088767078E-3</c:v>
                </c:pt>
                <c:pt idx="12">
                  <c:v>7.7592072098212712E-3</c:v>
                </c:pt>
                <c:pt idx="13">
                  <c:v>9.4623488504800065E-3</c:v>
                </c:pt>
                <c:pt idx="14">
                  <c:v>1.1182038840565343E-2</c:v>
                </c:pt>
                <c:pt idx="15">
                  <c:v>1.2805143961897521E-2</c:v>
                </c:pt>
                <c:pt idx="16">
                  <c:v>1.4209913870942328E-2</c:v>
                </c:pt>
                <c:pt idx="17">
                  <c:v>1.5280806237129633E-2</c:v>
                </c:pt>
                <c:pt idx="18">
                  <c:v>1.5924208280531142E-2</c:v>
                </c:pt>
                <c:pt idx="19">
                  <c:v>1.6082158640868482E-2</c:v>
                </c:pt>
                <c:pt idx="20">
                  <c:v>1.574136301474835E-2</c:v>
                </c:pt>
                <c:pt idx="21">
                  <c:v>1.4935672047690475E-2</c:v>
                </c:pt>
                <c:pt idx="22">
                  <c:v>1.3741540166300361E-2</c:v>
                </c:pt>
                <c:pt idx="23">
                  <c:v>1.2267443723910068E-2</c:v>
                </c:pt>
                <c:pt idx="24">
                  <c:v>1.0639404706577297E-2</c:v>
                </c:pt>
                <c:pt idx="25">
                  <c:v>8.9853412447043948E-3</c:v>
                </c:pt>
                <c:pt idx="26">
                  <c:v>7.4208468689878323E-3</c:v>
                </c:pt>
                <c:pt idx="27">
                  <c:v>6.0383091212832044E-3</c:v>
                </c:pt>
                <c:pt idx="28">
                  <c:v>4.9003012176768671E-3</c:v>
                </c:pt>
                <c:pt idx="29">
                  <c:v>4.03725090761212E-3</c:v>
                </c:pt>
                <c:pt idx="30">
                  <c:v>3.448760891721948E-3</c:v>
                </c:pt>
                <c:pt idx="31">
                  <c:v>3.1077122905413504E-3</c:v>
                </c:pt>
                <c:pt idx="32">
                  <c:v>2.9663394856658774E-3</c:v>
                </c:pt>
                <c:pt idx="33">
                  <c:v>2.9636269994204371E-3</c:v>
                </c:pt>
                <c:pt idx="34">
                  <c:v>3.0334566078697917E-3</c:v>
                </c:pt>
                <c:pt idx="35">
                  <c:v>3.1128401252327157E-3</c:v>
                </c:pt>
                <c:pt idx="36">
                  <c:v>3.1493713500050672E-3</c:v>
                </c:pt>
                <c:pt idx="37">
                  <c:v>3.1068885062616727E-3</c:v>
                </c:pt>
                <c:pt idx="38">
                  <c:v>2.9684338138283146E-3</c:v>
                </c:pt>
                <c:pt idx="39">
                  <c:v>2.7360087419510035E-3</c:v>
                </c:pt>
                <c:pt idx="40">
                  <c:v>2.4272756986796398E-3</c:v>
                </c:pt>
                <c:pt idx="41">
                  <c:v>2.0700424602869021E-3</c:v>
                </c:pt>
                <c:pt idx="42">
                  <c:v>1.6958410304937787E-3</c:v>
                </c:pt>
                <c:pt idx="43">
                  <c:v>1.3340105360416449E-3</c:v>
                </c:pt>
                <c:pt idx="44">
                  <c:v>1.0073961996862589E-3</c:v>
                </c:pt>
                <c:pt idx="45">
                  <c:v>7.3021383487708788E-4</c:v>
                </c:pt>
                <c:pt idx="46">
                  <c:v>5.0801294574436299E-4</c:v>
                </c:pt>
                <c:pt idx="47">
                  <c:v>3.3919917014208238E-4</c:v>
                </c:pt>
                <c:pt idx="48">
                  <c:v>2.1735941852364245E-4</c:v>
                </c:pt>
                <c:pt idx="49">
                  <c:v>1.3367153623341138E-4</c:v>
                </c:pt>
                <c:pt idx="50">
                  <c:v>7.889183945405156E-5</c:v>
                </c:pt>
              </c:numCache>
            </c:numRef>
          </c:val>
        </c:ser>
        <c:ser>
          <c:idx val="26"/>
          <c:order val="26"/>
          <c:tx>
            <c:strRef>
              <c:f>'Mixture of 2 Gaussian dist.'!$B$176</c:f>
              <c:strCache>
                <c:ptCount val="1"/>
                <c:pt idx="0">
                  <c:v>1.980994802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dist.'!$C$176:$BA$176</c:f>
              <c:numCache>
                <c:formatCode>General</c:formatCode>
                <c:ptCount val="51"/>
                <c:pt idx="0">
                  <c:v>3.9113969389429022E-5</c:v>
                </c:pt>
                <c:pt idx="1">
                  <c:v>6.996806551416517E-5</c:v>
                </c:pt>
                <c:pt idx="2">
                  <c:v>1.2128508810274823E-4</c:v>
                </c:pt>
                <c:pt idx="3">
                  <c:v>2.0372977982680032E-4</c:v>
                </c:pt>
                <c:pt idx="4">
                  <c:v>3.316203631722841E-4</c:v>
                </c:pt>
                <c:pt idx="5">
                  <c:v>5.2307917886810986E-4</c:v>
                </c:pt>
                <c:pt idx="6">
                  <c:v>7.9952720625579312E-4</c:v>
                </c:pt>
                <c:pt idx="7">
                  <c:v>1.1842370265026656E-3</c:v>
                </c:pt>
                <c:pt idx="8">
                  <c:v>1.6997443781618837E-3</c:v>
                </c:pt>
                <c:pt idx="9">
                  <c:v>2.3641128729557999E-3</c:v>
                </c:pt>
                <c:pt idx="10">
                  <c:v>3.1863426778425104E-3</c:v>
                </c:pt>
                <c:pt idx="11">
                  <c:v>4.161563891035943E-3</c:v>
                </c:pt>
                <c:pt idx="12">
                  <c:v>5.2669689455770753E-3</c:v>
                </c:pt>
                <c:pt idx="13">
                  <c:v>6.459600781298226E-3</c:v>
                </c:pt>
                <c:pt idx="14">
                  <c:v>7.6770196361081317E-3</c:v>
                </c:pt>
                <c:pt idx="15">
                  <c:v>8.8414694563033799E-3</c:v>
                </c:pt>
                <c:pt idx="16">
                  <c:v>9.8674931821911126E-3</c:v>
                </c:pt>
                <c:pt idx="17">
                  <c:v>1.067214292525745E-2</c:v>
                </c:pt>
                <c:pt idx="18">
                  <c:v>1.1186208111206233E-2</c:v>
                </c:pt>
                <c:pt idx="19">
                  <c:v>1.1364465162095057E-2</c:v>
                </c:pt>
                <c:pt idx="20">
                  <c:v>1.1192992485182268E-2</c:v>
                </c:pt>
                <c:pt idx="21">
                  <c:v>1.0692119325168654E-2</c:v>
                </c:pt>
                <c:pt idx="22">
                  <c:v>9.9144581545495165E-3</c:v>
                </c:pt>
                <c:pt idx="23">
                  <c:v>8.9384614349065188E-3</c:v>
                </c:pt>
                <c:pt idx="24">
                  <c:v>7.8587638347939661E-3</c:v>
                </c:pt>
                <c:pt idx="25">
                  <c:v>6.7750059238712969E-3</c:v>
                </c:pt>
                <c:pt idx="26">
                  <c:v>5.7808153639952453E-3</c:v>
                </c:pt>
                <c:pt idx="27">
                  <c:v>4.9542430565917726E-3</c:v>
                </c:pt>
                <c:pt idx="28">
                  <c:v>4.3504289457016818E-3</c:v>
                </c:pt>
                <c:pt idx="29">
                  <c:v>3.9968377895636936E-3</c:v>
                </c:pt>
                <c:pt idx="30">
                  <c:v>3.8912007373398776E-3</c:v>
                </c:pt>
                <c:pt idx="31">
                  <c:v>4.0023069060703756E-3</c:v>
                </c:pt>
                <c:pt idx="32">
                  <c:v>4.2738457430416838E-3</c:v>
                </c:pt>
                <c:pt idx="33">
                  <c:v>4.6313857028791316E-3</c:v>
                </c:pt>
                <c:pt idx="34">
                  <c:v>4.9921454753328485E-3</c:v>
                </c:pt>
                <c:pt idx="35">
                  <c:v>5.276513064167346E-3</c:v>
                </c:pt>
                <c:pt idx="36">
                  <c:v>5.4195388044177353E-3</c:v>
                </c:pt>
                <c:pt idx="37">
                  <c:v>5.3802189946608311E-3</c:v>
                </c:pt>
                <c:pt idx="38">
                  <c:v>5.1465797306684286E-3</c:v>
                </c:pt>
                <c:pt idx="39">
                  <c:v>4.7354240299982689E-3</c:v>
                </c:pt>
                <c:pt idx="40">
                  <c:v>4.1868944033308245E-3</c:v>
                </c:pt>
                <c:pt idx="41">
                  <c:v>3.5552991194553116E-3</c:v>
                </c:pt>
                <c:pt idx="42">
                  <c:v>2.8985047158780579E-3</c:v>
                </c:pt>
                <c:pt idx="43">
                  <c:v>2.2683351583202113E-3</c:v>
                </c:pt>
                <c:pt idx="44">
                  <c:v>1.703847402297319E-3</c:v>
                </c:pt>
                <c:pt idx="45">
                  <c:v>1.2283391231488893E-3</c:v>
                </c:pt>
                <c:pt idx="46">
                  <c:v>8.4987431341409126E-4</c:v>
                </c:pt>
                <c:pt idx="47">
                  <c:v>5.6432714415232462E-4</c:v>
                </c:pt>
                <c:pt idx="48">
                  <c:v>3.5961817775397731E-4</c:v>
                </c:pt>
                <c:pt idx="49">
                  <c:v>2.1992954504356649E-4</c:v>
                </c:pt>
                <c:pt idx="50">
                  <c:v>1.2907876898206235E-4</c:v>
                </c:pt>
              </c:numCache>
            </c:numRef>
          </c:val>
        </c:ser>
        <c:ser>
          <c:idx val="27"/>
          <c:order val="27"/>
          <c:tx>
            <c:strRef>
              <c:f>'Mixture of 2 Gaussian dist.'!$B$177</c:f>
              <c:strCache>
                <c:ptCount val="1"/>
                <c:pt idx="0">
                  <c:v>2.17218147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dist.'!$C$177:$BA$177</c:f>
              <c:numCache>
                <c:formatCode>General</c:formatCode>
                <c:ptCount val="51"/>
                <c:pt idx="0">
                  <c:v>2.3903671941142672E-5</c:v>
                </c:pt>
                <c:pt idx="1">
                  <c:v>4.3002578298678244E-5</c:v>
                </c:pt>
                <c:pt idx="2">
                  <c:v>7.4965930734659521E-5</c:v>
                </c:pt>
                <c:pt idx="3">
                  <c:v>1.2664059623378066E-4</c:v>
                </c:pt>
                <c:pt idx="4">
                  <c:v>2.0731060756749251E-4</c:v>
                </c:pt>
                <c:pt idx="5">
                  <c:v>3.2885895639414337E-4</c:v>
                </c:pt>
                <c:pt idx="6">
                  <c:v>5.0551890724325767E-4</c:v>
                </c:pt>
                <c:pt idx="7">
                  <c:v>7.5301691043883285E-4</c:v>
                </c:pt>
                <c:pt idx="8">
                  <c:v>1.0869553108428247E-3</c:v>
                </c:pt>
                <c:pt idx="9">
                  <c:v>1.5204017653853638E-3</c:v>
                </c:pt>
                <c:pt idx="10">
                  <c:v>2.0608431491594675E-3</c:v>
                </c:pt>
                <c:pt idx="11">
                  <c:v>2.7068974287702899E-3</c:v>
                </c:pt>
                <c:pt idx="12">
                  <c:v>3.4454010362321725E-3</c:v>
                </c:pt>
                <c:pt idx="13">
                  <c:v>4.2496253247428714E-3</c:v>
                </c:pt>
                <c:pt idx="14">
                  <c:v>5.0793492007428689E-3</c:v>
                </c:pt>
                <c:pt idx="15">
                  <c:v>5.8832826029471211E-3</c:v>
                </c:pt>
                <c:pt idx="16">
                  <c:v>6.6039112648302216E-3</c:v>
                </c:pt>
                <c:pt idx="17">
                  <c:v>7.1842995604127083E-3</c:v>
                </c:pt>
                <c:pt idx="18">
                  <c:v>7.5758816266892686E-3</c:v>
                </c:pt>
                <c:pt idx="19">
                  <c:v>7.7459422960148147E-3</c:v>
                </c:pt>
                <c:pt idx="20">
                  <c:v>7.6834506566804918E-3</c:v>
                </c:pt>
                <c:pt idx="21">
                  <c:v>7.4021865504862987E-3</c:v>
                </c:pt>
                <c:pt idx="22">
                  <c:v>6.94061597852533E-3</c:v>
                </c:pt>
                <c:pt idx="23">
                  <c:v>6.3585654967297546E-3</c:v>
                </c:pt>
                <c:pt idx="24">
                  <c:v>5.731236913609751E-3</c:v>
                </c:pt>
                <c:pt idx="25">
                  <c:v>5.1413648388864462E-3</c:v>
                </c:pt>
                <c:pt idx="26">
                  <c:v>4.6703363094258588E-3</c:v>
                </c:pt>
                <c:pt idx="27">
                  <c:v>4.3889714031449256E-3</c:v>
                </c:pt>
                <c:pt idx="28">
                  <c:v>4.3485832720090625E-3</c:v>
                </c:pt>
                <c:pt idx="29">
                  <c:v>4.5730414607666357E-3</c:v>
                </c:pt>
                <c:pt idx="30">
                  <c:v>5.0528662194650378E-3</c:v>
                </c:pt>
                <c:pt idx="31">
                  <c:v>5.7427148698475389E-3</c:v>
                </c:pt>
                <c:pt idx="32">
                  <c:v>6.5636839485519304E-3</c:v>
                </c:pt>
                <c:pt idx="33">
                  <c:v>7.4113573144719376E-3</c:v>
                </c:pt>
                <c:pt idx="34">
                  <c:v>8.1693922798519499E-3</c:v>
                </c:pt>
                <c:pt idx="35">
                  <c:v>8.726882851976113E-3</c:v>
                </c:pt>
                <c:pt idx="36">
                  <c:v>8.9962922742491628E-3</c:v>
                </c:pt>
                <c:pt idx="37">
                  <c:v>8.9280242879539642E-3</c:v>
                </c:pt>
                <c:pt idx="38">
                  <c:v>8.5181332880531098E-3</c:v>
                </c:pt>
                <c:pt idx="39">
                  <c:v>7.8072627690001124E-3</c:v>
                </c:pt>
                <c:pt idx="40">
                  <c:v>6.8711771671375729E-3</c:v>
                </c:pt>
                <c:pt idx="41">
                  <c:v>5.8054407986788568E-3</c:v>
                </c:pt>
                <c:pt idx="42">
                  <c:v>4.7081493948058772E-3</c:v>
                </c:pt>
                <c:pt idx="43">
                  <c:v>3.6647241125850913E-3</c:v>
                </c:pt>
                <c:pt idx="44">
                  <c:v>2.7377138688250099E-3</c:v>
                </c:pt>
                <c:pt idx="45">
                  <c:v>1.96281182004767E-3</c:v>
                </c:pt>
                <c:pt idx="46">
                  <c:v>1.3505357869430417E-3</c:v>
                </c:pt>
                <c:pt idx="47">
                  <c:v>8.9179734549182357E-4</c:v>
                </c:pt>
                <c:pt idx="48">
                  <c:v>5.6514044790444736E-4</c:v>
                </c:pt>
                <c:pt idx="49">
                  <c:v>3.4369659175314605E-4</c:v>
                </c:pt>
                <c:pt idx="50">
                  <c:v>2.005957598571839E-4</c:v>
                </c:pt>
              </c:numCache>
            </c:numRef>
          </c:val>
        </c:ser>
        <c:ser>
          <c:idx val="28"/>
          <c:order val="28"/>
          <c:tx>
            <c:strRef>
              <c:f>'Mixture of 2 Gaussian dist.'!$B$178</c:f>
              <c:strCache>
                <c:ptCount val="1"/>
                <c:pt idx="0">
                  <c:v>2.363368138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dist.'!$C$178:$BA$178</c:f>
              <c:numCache>
                <c:formatCode>General</c:formatCode>
                <c:ptCount val="51"/>
                <c:pt idx="0">
                  <c:v>1.407766634795521E-5</c:v>
                </c:pt>
                <c:pt idx="1">
                  <c:v>2.5469618752084799E-5</c:v>
                </c:pt>
                <c:pt idx="2">
                  <c:v>4.4653323454887739E-5</c:v>
                </c:pt>
                <c:pt idx="3">
                  <c:v>7.5862072209954392E-5</c:v>
                </c:pt>
                <c:pt idx="4">
                  <c:v>1.2489216349352111E-4</c:v>
                </c:pt>
                <c:pt idx="5">
                  <c:v>1.9924400385991367E-4</c:v>
                </c:pt>
                <c:pt idx="6">
                  <c:v>3.0801717875010147E-4</c:v>
                </c:pt>
                <c:pt idx="7">
                  <c:v>4.6142835016529807E-4</c:v>
                </c:pt>
                <c:pt idx="8">
                  <c:v>6.6984354615846106E-4</c:v>
                </c:pt>
                <c:pt idx="9">
                  <c:v>9.4228545993388043E-4</c:v>
                </c:pt>
                <c:pt idx="10">
                  <c:v>1.2844941504723663E-3</c:v>
                </c:pt>
                <c:pt idx="11">
                  <c:v>1.6967716893081404E-3</c:v>
                </c:pt>
                <c:pt idx="12">
                  <c:v>2.171994224963321E-3</c:v>
                </c:pt>
                <c:pt idx="13">
                  <c:v>2.6942804151997178E-3</c:v>
                </c:pt>
                <c:pt idx="14">
                  <c:v>3.2388133113196637E-3</c:v>
                </c:pt>
                <c:pt idx="15">
                  <c:v>3.7731906891052495E-3</c:v>
                </c:pt>
                <c:pt idx="16">
                  <c:v>4.2604286336622652E-3</c:v>
                </c:pt>
                <c:pt idx="17">
                  <c:v>4.6634107938534732E-3</c:v>
                </c:pt>
                <c:pt idx="18">
                  <c:v>4.9502433806777029E-3</c:v>
                </c:pt>
                <c:pt idx="19">
                  <c:v>5.0997374797889282E-3</c:v>
                </c:pt>
                <c:pt idx="20">
                  <c:v>5.1061655748121312E-3</c:v>
                </c:pt>
                <c:pt idx="21">
                  <c:v>4.9825428605701477E-3</c:v>
                </c:pt>
                <c:pt idx="22">
                  <c:v>4.7619134146856673E-3</c:v>
                </c:pt>
                <c:pt idx="23">
                  <c:v>4.496376444552197E-3</c:v>
                </c:pt>
                <c:pt idx="24">
                  <c:v>4.2537696029098272E-3</c:v>
                </c:pt>
                <c:pt idx="25">
                  <c:v>4.1119966212037166E-3</c:v>
                </c:pt>
                <c:pt idx="26">
                  <c:v>4.1510080369254179E-3</c:v>
                </c:pt>
                <c:pt idx="27">
                  <c:v>4.4425695317636769E-3</c:v>
                </c:pt>
                <c:pt idx="28">
                  <c:v>5.0383502518897994E-3</c:v>
                </c:pt>
                <c:pt idx="29">
                  <c:v>5.9575967136243965E-3</c:v>
                </c:pt>
                <c:pt idx="30">
                  <c:v>7.1765775876924259E-3</c:v>
                </c:pt>
                <c:pt idx="31">
                  <c:v>8.6227078247753924E-3</c:v>
                </c:pt>
                <c:pt idx="32">
                  <c:v>1.017628487453622E-2</c:v>
                </c:pt>
                <c:pt idx="33">
                  <c:v>1.1681709917477722E-2</c:v>
                </c:pt>
                <c:pt idx="34">
                  <c:v>1.2967916202225998E-2</c:v>
                </c:pt>
                <c:pt idx="35">
                  <c:v>1.3874995559881498E-2</c:v>
                </c:pt>
                <c:pt idx="36">
                  <c:v>1.4281630417692065E-2</c:v>
                </c:pt>
                <c:pt idx="37">
                  <c:v>1.4126898635293416E-2</c:v>
                </c:pt>
                <c:pt idx="38">
                  <c:v>1.3420931413344606E-2</c:v>
                </c:pt>
                <c:pt idx="39">
                  <c:v>1.2241654944885242E-2</c:v>
                </c:pt>
                <c:pt idx="40">
                  <c:v>1.0718570638719857E-2</c:v>
                </c:pt>
                <c:pt idx="41">
                  <c:v>9.0079458837405302E-3</c:v>
                </c:pt>
                <c:pt idx="42">
                  <c:v>7.2657368019809774E-3</c:v>
                </c:pt>
                <c:pt idx="43">
                  <c:v>5.6244851203922711E-3</c:v>
                </c:pt>
                <c:pt idx="44">
                  <c:v>4.1785523689917984E-3</c:v>
                </c:pt>
                <c:pt idx="45">
                  <c:v>2.9792258314687891E-3</c:v>
                </c:pt>
                <c:pt idx="46">
                  <c:v>2.0385071431362348E-3</c:v>
                </c:pt>
                <c:pt idx="47">
                  <c:v>1.3385984768118798E-3</c:v>
                </c:pt>
                <c:pt idx="48">
                  <c:v>8.4356101727476858E-4</c:v>
                </c:pt>
                <c:pt idx="49">
                  <c:v>5.1016426638066863E-4</c:v>
                </c:pt>
                <c:pt idx="50">
                  <c:v>2.9609459478535194E-4</c:v>
                </c:pt>
              </c:numCache>
            </c:numRef>
          </c:val>
        </c:ser>
        <c:ser>
          <c:idx val="29"/>
          <c:order val="29"/>
          <c:tx>
            <c:strRef>
              <c:f>'Mixture of 2 Gaussian dist.'!$B$179</c:f>
              <c:strCache>
                <c:ptCount val="1"/>
                <c:pt idx="0">
                  <c:v>2.554554805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dist.'!$C$179:$BA$179</c:f>
              <c:numCache>
                <c:formatCode>General</c:formatCode>
                <c:ptCount val="51"/>
                <c:pt idx="0">
                  <c:v>7.9896919765549028E-6</c:v>
                </c:pt>
                <c:pt idx="1">
                  <c:v>1.4537298740148218E-5</c:v>
                </c:pt>
                <c:pt idx="2">
                  <c:v>2.5631673642385779E-5</c:v>
                </c:pt>
                <c:pt idx="3">
                  <c:v>4.3793513646343522E-5</c:v>
                </c:pt>
                <c:pt idx="4">
                  <c:v>7.2507379153338556E-5</c:v>
                </c:pt>
                <c:pt idx="5">
                  <c:v>1.163306740612675E-4</c:v>
                </c:pt>
                <c:pt idx="6">
                  <c:v>1.8086143391381996E-4</c:v>
                </c:pt>
                <c:pt idx="7">
                  <c:v>2.7248181963340963E-4</c:v>
                </c:pt>
                <c:pt idx="8">
                  <c:v>3.9780409507168487E-4</c:v>
                </c:pt>
                <c:pt idx="9">
                  <c:v>5.6278409806311751E-4</c:v>
                </c:pt>
                <c:pt idx="10">
                  <c:v>7.7153691195222659E-4</c:v>
                </c:pt>
                <c:pt idx="11">
                  <c:v>1.0249838636611245E-3</c:v>
                </c:pt>
                <c:pt idx="12">
                  <c:v>1.3195603539613411E-3</c:v>
                </c:pt>
                <c:pt idx="13">
                  <c:v>1.6462916889456278E-3</c:v>
                </c:pt>
                <c:pt idx="14">
                  <c:v>1.9905677718707318E-3</c:v>
                </c:pt>
                <c:pt idx="15">
                  <c:v>2.3328946755836895E-3</c:v>
                </c:pt>
                <c:pt idx="16">
                  <c:v>2.6507692128268563E-3</c:v>
                </c:pt>
                <c:pt idx="17">
                  <c:v>2.9216349424182248E-3</c:v>
                </c:pt>
                <c:pt idx="18">
                  <c:v>3.1266791138823764E-3</c:v>
                </c:pt>
                <c:pt idx="19">
                  <c:v>3.2550694397661712E-3</c:v>
                </c:pt>
                <c:pt idx="20">
                  <c:v>3.3081389214826003E-3</c:v>
                </c:pt>
                <c:pt idx="21">
                  <c:v>3.3030007465709951E-3</c:v>
                </c:pt>
                <c:pt idx="22">
                  <c:v>3.2750687715430151E-3</c:v>
                </c:pt>
                <c:pt idx="23">
                  <c:v>3.2789123648535342E-3</c:v>
                </c:pt>
                <c:pt idx="24">
                  <c:v>3.3867599197184997E-3</c:v>
                </c:pt>
                <c:pt idx="25">
                  <c:v>3.6838398875138467E-3</c:v>
                </c:pt>
                <c:pt idx="26">
                  <c:v>4.2597749875334769E-3</c:v>
                </c:pt>
                <c:pt idx="27">
                  <c:v>5.1956529666954011E-3</c:v>
                </c:pt>
                <c:pt idx="28">
                  <c:v>6.547363874445402E-3</c:v>
                </c:pt>
                <c:pt idx="29">
                  <c:v>8.3272881471782908E-3</c:v>
                </c:pt>
                <c:pt idx="30">
                  <c:v>1.048808109374251E-2</c:v>
                </c:pt>
                <c:pt idx="31">
                  <c:v>1.2913453641289685E-2</c:v>
                </c:pt>
                <c:pt idx="32">
                  <c:v>1.5420722156026342E-2</c:v>
                </c:pt>
                <c:pt idx="33">
                  <c:v>1.777798677506507E-2</c:v>
                </c:pt>
                <c:pt idx="34">
                  <c:v>1.9735231322897312E-2</c:v>
                </c:pt>
                <c:pt idx="35">
                  <c:v>2.106434207000614E-2</c:v>
                </c:pt>
                <c:pt idx="36">
                  <c:v>2.1599509276004739E-2</c:v>
                </c:pt>
                <c:pt idx="37">
                  <c:v>2.1268192942599885E-2</c:v>
                </c:pt>
                <c:pt idx="38">
                  <c:v>2.01045998616486E-2</c:v>
                </c:pt>
                <c:pt idx="39">
                  <c:v>1.8242084533943447E-2</c:v>
                </c:pt>
                <c:pt idx="40">
                  <c:v>1.5886604357647313E-2</c:v>
                </c:pt>
                <c:pt idx="41">
                  <c:v>1.3278351487333364E-2</c:v>
                </c:pt>
                <c:pt idx="42">
                  <c:v>1.0651270512753075E-2</c:v>
                </c:pt>
                <c:pt idx="43">
                  <c:v>8.199655922889482E-3</c:v>
                </c:pt>
                <c:pt idx="44">
                  <c:v>6.0579060311939589E-3</c:v>
                </c:pt>
                <c:pt idx="45">
                  <c:v>4.2951622691145075E-3</c:v>
                </c:pt>
                <c:pt idx="46">
                  <c:v>2.9225720309639354E-3</c:v>
                </c:pt>
                <c:pt idx="47">
                  <c:v>1.9084401433348288E-3</c:v>
                </c:pt>
                <c:pt idx="48">
                  <c:v>1.1959663564068627E-3</c:v>
                </c:pt>
                <c:pt idx="49">
                  <c:v>7.1926036528003018E-4</c:v>
                </c:pt>
                <c:pt idx="50">
                  <c:v>4.1512589281512301E-4</c:v>
                </c:pt>
              </c:numCache>
            </c:numRef>
          </c:val>
        </c:ser>
        <c:ser>
          <c:idx val="30"/>
          <c:order val="30"/>
          <c:tx>
            <c:strRef>
              <c:f>'Mixture of 2 Gaussian dist.'!$B$180</c:f>
              <c:strCache>
                <c:ptCount val="1"/>
                <c:pt idx="0">
                  <c:v>2.745741473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dist.'!$C$180:$BA$180</c:f>
              <c:numCache>
                <c:formatCode>General</c:formatCode>
                <c:ptCount val="51"/>
                <c:pt idx="0">
                  <c:v>4.3698117508091254E-6</c:v>
                </c:pt>
                <c:pt idx="1">
                  <c:v>7.9961017984027586E-6</c:v>
                </c:pt>
                <c:pt idx="2">
                  <c:v>1.4178604262083782E-5</c:v>
                </c:pt>
                <c:pt idx="3">
                  <c:v>2.4362858693217753E-5</c:v>
                </c:pt>
                <c:pt idx="4">
                  <c:v>4.0566043364194842E-5</c:v>
                </c:pt>
                <c:pt idx="5">
                  <c:v>6.5454089204178929E-5</c:v>
                </c:pt>
                <c:pt idx="6">
                  <c:v>1.0234127985989017E-4</c:v>
                </c:pt>
                <c:pt idx="7">
                  <c:v>1.5506195606916024E-4</c:v>
                </c:pt>
                <c:pt idx="8">
                  <c:v>2.2766745166937399E-4</c:v>
                </c:pt>
                <c:pt idx="9">
                  <c:v>3.2392156614583195E-4</c:v>
                </c:pt>
                <c:pt idx="10">
                  <c:v>4.4660761532334139E-4</c:v>
                </c:pt>
                <c:pt idx="11">
                  <c:v>5.967168473392224E-4</c:v>
                </c:pt>
                <c:pt idx="12">
                  <c:v>7.7265222944393691E-4</c:v>
                </c:pt>
                <c:pt idx="13">
                  <c:v>9.6963764242254829E-4</c:v>
                </c:pt>
                <c:pt idx="14">
                  <c:v>1.1795525297737472E-3</c:v>
                </c:pt>
                <c:pt idx="15">
                  <c:v>1.3914023606119402E-3</c:v>
                </c:pt>
                <c:pt idx="16">
                  <c:v>1.592582623399192E-3</c:v>
                </c:pt>
                <c:pt idx="17">
                  <c:v>1.7710081964266416E-3</c:v>
                </c:pt>
                <c:pt idx="18">
                  <c:v>1.9180791408041128E-3</c:v>
                </c:pt>
                <c:pt idx="19">
                  <c:v>2.0323532217843294E-3</c:v>
                </c:pt>
                <c:pt idx="20">
                  <c:v>2.1236913952484256E-3</c:v>
                </c:pt>
                <c:pt idx="21">
                  <c:v>2.2175045828719286E-3</c:v>
                </c:pt>
                <c:pt idx="22">
                  <c:v>2.3585100605685349E-3</c:v>
                </c:pt>
                <c:pt idx="23">
                  <c:v>2.6130727512420518E-3</c:v>
                </c:pt>
                <c:pt idx="24">
                  <c:v>3.0688018838887529E-3</c:v>
                </c:pt>
                <c:pt idx="25">
                  <c:v>3.8297598286332855E-3</c:v>
                </c:pt>
                <c:pt idx="26">
                  <c:v>5.00570492480076E-3</c:v>
                </c:pt>
                <c:pt idx="27">
                  <c:v>6.6945624589669246E-3</c:v>
                </c:pt>
                <c:pt idx="28">
                  <c:v>8.9589915202601886E-3</c:v>
                </c:pt>
                <c:pt idx="29">
                  <c:v>1.1800335142706328E-2</c:v>
                </c:pt>
                <c:pt idx="30">
                  <c:v>1.5135766609832603E-2</c:v>
                </c:pt>
                <c:pt idx="31">
                  <c:v>1.8786025579889655E-2</c:v>
                </c:pt>
                <c:pt idx="32">
                  <c:v>2.2480665261892172E-2</c:v>
                </c:pt>
                <c:pt idx="33">
                  <c:v>2.5884586560044914E-2</c:v>
                </c:pt>
                <c:pt idx="34">
                  <c:v>2.8644185164487281E-2</c:v>
                </c:pt>
                <c:pt idx="35">
                  <c:v>3.0445183061402602E-2</c:v>
                </c:pt>
                <c:pt idx="36">
                  <c:v>3.1069383173117641E-2</c:v>
                </c:pt>
                <c:pt idx="37">
                  <c:v>3.0436250923546789E-2</c:v>
                </c:pt>
                <c:pt idx="38">
                  <c:v>2.8618341263931528E-2</c:v>
                </c:pt>
                <c:pt idx="39">
                  <c:v>2.5826410985929991E-2</c:v>
                </c:pt>
                <c:pt idx="40">
                  <c:v>2.2368326860440095E-2</c:v>
                </c:pt>
                <c:pt idx="41">
                  <c:v>1.8592731515142177E-2</c:v>
                </c:pt>
                <c:pt idx="42">
                  <c:v>1.4831583339669111E-2</c:v>
                </c:pt>
                <c:pt idx="43">
                  <c:v>1.1354371919112255E-2</c:v>
                </c:pt>
                <c:pt idx="44">
                  <c:v>8.3419579977085049E-3</c:v>
                </c:pt>
                <c:pt idx="45">
                  <c:v>5.8816741630100108E-3</c:v>
                </c:pt>
                <c:pt idx="46">
                  <c:v>3.9798002154127236E-3</c:v>
                </c:pt>
                <c:pt idx="47">
                  <c:v>2.5843330311731685E-3</c:v>
                </c:pt>
                <c:pt idx="48">
                  <c:v>1.6105058447091639E-3</c:v>
                </c:pt>
                <c:pt idx="49">
                  <c:v>9.6316918150174315E-4</c:v>
                </c:pt>
                <c:pt idx="50">
                  <c:v>5.5280146786205477E-4</c:v>
                </c:pt>
              </c:numCache>
            </c:numRef>
          </c:val>
        </c:ser>
        <c:ser>
          <c:idx val="31"/>
          <c:order val="31"/>
          <c:tx>
            <c:strRef>
              <c:f>'Mixture of 2 Gaussian dist.'!$B$181</c:f>
              <c:strCache>
                <c:ptCount val="1"/>
                <c:pt idx="0">
                  <c:v>2.936928141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dist.'!$C$181:$BA$181</c:f>
              <c:numCache>
                <c:formatCode>General</c:formatCode>
                <c:ptCount val="51"/>
                <c:pt idx="0">
                  <c:v>2.3031846165256813E-6</c:v>
                </c:pt>
                <c:pt idx="1">
                  <c:v>4.2384421544304251E-6</c:v>
                </c:pt>
                <c:pt idx="2">
                  <c:v>7.5582870059482876E-6</c:v>
                </c:pt>
                <c:pt idx="3">
                  <c:v>1.3061112240549174E-5</c:v>
                </c:pt>
                <c:pt idx="4">
                  <c:v>2.1871407276191868E-5</c:v>
                </c:pt>
                <c:pt idx="5">
                  <c:v>3.5490599908084635E-5</c:v>
                </c:pt>
                <c:pt idx="6">
                  <c:v>5.5807243030271712E-5</c:v>
                </c:pt>
                <c:pt idx="7">
                  <c:v>8.5037332986978275E-5</c:v>
                </c:pt>
                <c:pt idx="8">
                  <c:v>1.2556630611283375E-4</c:v>
                </c:pt>
                <c:pt idx="9">
                  <c:v>1.7967451098318659E-4</c:v>
                </c:pt>
                <c:pt idx="10">
                  <c:v>2.491500656800576E-4</c:v>
                </c:pt>
                <c:pt idx="11">
                  <c:v>3.3482664575412192E-4</c:v>
                </c:pt>
                <c:pt idx="12">
                  <c:v>4.3612493942995914E-4</c:v>
                </c:pt>
                <c:pt idx="13">
                  <c:v>5.5071801073115886E-4</c:v>
                </c:pt>
                <c:pt idx="14">
                  <c:v>6.7447412744501515E-4</c:v>
                </c:pt>
                <c:pt idx="15">
                  <c:v>8.0184908980316782E-4</c:v>
                </c:pt>
                <c:pt idx="16">
                  <c:v>9.2690143151105654E-4</c:v>
                </c:pt>
                <c:pt idx="17">
                  <c:v>1.0450894458159045E-3</c:v>
                </c:pt>
                <c:pt idx="18">
                  <c:v>1.1559780714379632E-3</c:v>
                </c:pt>
                <c:pt idx="19">
                  <c:v>1.266922891526897E-3</c:v>
                </c:pt>
                <c:pt idx="20">
                  <c:v>1.3976718305198062E-3</c:v>
                </c:pt>
                <c:pt idx="21">
                  <c:v>1.585574412815084E-3</c:v>
                </c:pt>
                <c:pt idx="22">
                  <c:v>1.8906562983456165E-3</c:v>
                </c:pt>
                <c:pt idx="23">
                  <c:v>2.3991977410558066E-3</c:v>
                </c:pt>
                <c:pt idx="24">
                  <c:v>3.2237631772655739E-3</c:v>
                </c:pt>
                <c:pt idx="25">
                  <c:v>4.4971500272607242E-3</c:v>
                </c:pt>
                <c:pt idx="26">
                  <c:v>6.3578914195285292E-3</c:v>
                </c:pt>
                <c:pt idx="27">
                  <c:v>8.9262033057841382E-3</c:v>
                </c:pt>
                <c:pt idx="28">
                  <c:v>1.2271811202088081E-2</c:v>
                </c:pt>
                <c:pt idx="29">
                  <c:v>1.6378599955200631E-2</c:v>
                </c:pt>
                <c:pt idx="30">
                  <c:v>2.1114503929648167E-2</c:v>
                </c:pt>
                <c:pt idx="31">
                  <c:v>2.6216987381968239E-2</c:v>
                </c:pt>
                <c:pt idx="32">
                  <c:v>3.1303373325922368E-2</c:v>
                </c:pt>
                <c:pt idx="33">
                  <c:v>3.59104698585926E-2</c:v>
                </c:pt>
                <c:pt idx="34">
                  <c:v>3.9560146504908522E-2</c:v>
                </c:pt>
                <c:pt idx="35">
                  <c:v>4.1838983055745668E-2</c:v>
                </c:pt>
                <c:pt idx="36">
                  <c:v>4.2473961782047008E-2</c:v>
                </c:pt>
                <c:pt idx="37">
                  <c:v>4.1385113943533336E-2</c:v>
                </c:pt>
                <c:pt idx="38">
                  <c:v>3.8701079131305605E-2</c:v>
                </c:pt>
                <c:pt idx="39">
                  <c:v>3.4733351533873233E-2</c:v>
                </c:pt>
                <c:pt idx="40">
                  <c:v>2.9916274884002815E-2</c:v>
                </c:pt>
                <c:pt idx="41">
                  <c:v>2.47286914952419E-2</c:v>
                </c:pt>
                <c:pt idx="42">
                  <c:v>1.9616654343322305E-2</c:v>
                </c:pt>
                <c:pt idx="43">
                  <c:v>1.4934041635905764E-2</c:v>
                </c:pt>
                <c:pt idx="44">
                  <c:v>1.0910821352998359E-2</c:v>
                </c:pt>
                <c:pt idx="45">
                  <c:v>7.6500561863365336E-3</c:v>
                </c:pt>
                <c:pt idx="46">
                  <c:v>5.1475259359062241E-3</c:v>
                </c:pt>
                <c:pt idx="47">
                  <c:v>3.3239844351566584E-3</c:v>
                </c:pt>
                <c:pt idx="48">
                  <c:v>2.0598984072579306E-3</c:v>
                </c:pt>
                <c:pt idx="49">
                  <c:v>1.2250643956185116E-3</c:v>
                </c:pt>
                <c:pt idx="50">
                  <c:v>6.9919493774368521E-4</c:v>
                </c:pt>
              </c:numCache>
            </c:numRef>
          </c:val>
        </c:ser>
        <c:ser>
          <c:idx val="32"/>
          <c:order val="32"/>
          <c:tx>
            <c:strRef>
              <c:f>'Mixture of 2 Gaussian dist.'!$B$182</c:f>
              <c:strCache>
                <c:ptCount val="1"/>
                <c:pt idx="0">
                  <c:v>3.128114809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dist.'!$C$182:$BA$182</c:f>
              <c:numCache>
                <c:formatCode>General</c:formatCode>
                <c:ptCount val="51"/>
                <c:pt idx="0">
                  <c:v>1.1698444793420295E-6</c:v>
                </c:pt>
                <c:pt idx="1">
                  <c:v>2.1650483959441329E-6</c:v>
                </c:pt>
                <c:pt idx="2">
                  <c:v>3.8828157623678771E-6</c:v>
                </c:pt>
                <c:pt idx="3">
                  <c:v>6.7478561446164117E-6</c:v>
                </c:pt>
                <c:pt idx="4">
                  <c:v>1.1363838472846748E-5</c:v>
                </c:pt>
                <c:pt idx="5">
                  <c:v>1.8544932131345682E-5</c:v>
                </c:pt>
                <c:pt idx="6">
                  <c:v>2.9327025723758321E-5</c:v>
                </c:pt>
                <c:pt idx="7">
                  <c:v>4.4942454941084389E-5</c:v>
                </c:pt>
                <c:pt idx="8">
                  <c:v>6.6741927662179959E-5</c:v>
                </c:pt>
                <c:pt idx="9">
                  <c:v>9.605252724807393E-5</c:v>
                </c:pt>
                <c:pt idx="10">
                  <c:v>1.3397309285198965E-4</c:v>
                </c:pt>
                <c:pt idx="11">
                  <c:v>1.8112875194823736E-4</c:v>
                </c:pt>
                <c:pt idx="12">
                  <c:v>2.3743428681783504E-4</c:v>
                </c:pt>
                <c:pt idx="13">
                  <c:v>3.0194950267823251E-4</c:v>
                </c:pt>
                <c:pt idx="14">
                  <c:v>3.7294669432915415E-4</c:v>
                </c:pt>
                <c:pt idx="15">
                  <c:v>4.4834927071550184E-4</c:v>
                </c:pt>
                <c:pt idx="16">
                  <c:v>5.2674052664643842E-4</c:v>
                </c:pt>
                <c:pt idx="17">
                  <c:v>6.0917802253589019E-4</c:v>
                </c:pt>
                <c:pt idx="18">
                  <c:v>7.0206612589422505E-4</c:v>
                </c:pt>
                <c:pt idx="19">
                  <c:v>8.2129880907491973E-4</c:v>
                </c:pt>
                <c:pt idx="20">
                  <c:v>9.9771978615388049E-4</c:v>
                </c:pt>
                <c:pt idx="21">
                  <c:v>1.2835712168233573E-3</c:v>
                </c:pt>
                <c:pt idx="22">
                  <c:v>1.758948325534617E-3</c:v>
                </c:pt>
                <c:pt idx="23">
                  <c:v>2.5363681600322008E-3</c:v>
                </c:pt>
                <c:pt idx="24">
                  <c:v>3.76059376587334E-3</c:v>
                </c:pt>
                <c:pt idx="25">
                  <c:v>5.600252403057426E-3</c:v>
                </c:pt>
                <c:pt idx="26">
                  <c:v>8.2281422056510994E-3</c:v>
                </c:pt>
                <c:pt idx="27">
                  <c:v>1.178899468210259E-2</c:v>
                </c:pt>
                <c:pt idx="28">
                  <c:v>1.6357030001048743E-2</c:v>
                </c:pt>
                <c:pt idx="29">
                  <c:v>2.1890354685264308E-2</c:v>
                </c:pt>
                <c:pt idx="30">
                  <c:v>2.8193678943085918E-2</c:v>
                </c:pt>
                <c:pt idx="31">
                  <c:v>3.4902952770927448E-2</c:v>
                </c:pt>
                <c:pt idx="32">
                  <c:v>4.1503480713863207E-2</c:v>
                </c:pt>
                <c:pt idx="33">
                  <c:v>4.738618650576272E-2</c:v>
                </c:pt>
                <c:pt idx="34">
                  <c:v>5.1936200018847418E-2</c:v>
                </c:pt>
                <c:pt idx="35">
                  <c:v>5.4636993876232366E-2</c:v>
                </c:pt>
                <c:pt idx="36">
                  <c:v>5.51659971543213E-2</c:v>
                </c:pt>
                <c:pt idx="37">
                  <c:v>5.3457282238401974E-2</c:v>
                </c:pt>
                <c:pt idx="38">
                  <c:v>4.9714487958967712E-2</c:v>
                </c:pt>
                <c:pt idx="39">
                  <c:v>4.4370456424115037E-2</c:v>
                </c:pt>
                <c:pt idx="40">
                  <c:v>3.8004602770394524E-2</c:v>
                </c:pt>
                <c:pt idx="41">
                  <c:v>3.1239769561765045E-2</c:v>
                </c:pt>
                <c:pt idx="42">
                  <c:v>2.4643792162705621E-2</c:v>
                </c:pt>
                <c:pt idx="43">
                  <c:v>1.8656690220999878E-2</c:v>
                </c:pt>
                <c:pt idx="44">
                  <c:v>1.3554657764554291E-2</c:v>
                </c:pt>
                <c:pt idx="45">
                  <c:v>9.4508120616846169E-3</c:v>
                </c:pt>
                <c:pt idx="46">
                  <c:v>6.323771043656082E-3</c:v>
                </c:pt>
                <c:pt idx="47">
                  <c:v>4.0607801780239436E-3</c:v>
                </c:pt>
                <c:pt idx="48">
                  <c:v>2.5024711943028373E-3</c:v>
                </c:pt>
                <c:pt idx="49">
                  <c:v>1.4799768214985335E-3</c:v>
                </c:pt>
                <c:pt idx="50">
                  <c:v>8.3997610689696229E-4</c:v>
                </c:pt>
              </c:numCache>
            </c:numRef>
          </c:val>
        </c:ser>
        <c:ser>
          <c:idx val="33"/>
          <c:order val="33"/>
          <c:tx>
            <c:strRef>
              <c:f>'Mixture of 2 Gaussian dist.'!$B$183</c:f>
              <c:strCache>
                <c:ptCount val="1"/>
                <c:pt idx="0">
                  <c:v>3.319301477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dist.'!$C$183:$BA$183</c:f>
              <c:numCache>
                <c:formatCode>General</c:formatCode>
                <c:ptCount val="51"/>
                <c:pt idx="0">
                  <c:v>5.7261265106061651E-7</c:v>
                </c:pt>
                <c:pt idx="1">
                  <c:v>1.0657676317492799E-6</c:v>
                </c:pt>
                <c:pt idx="2">
                  <c:v>1.9222243107755814E-6</c:v>
                </c:pt>
                <c:pt idx="3">
                  <c:v>3.3595879881689971E-6</c:v>
                </c:pt>
                <c:pt idx="4">
                  <c:v>5.6899622948272026E-6</c:v>
                </c:pt>
                <c:pt idx="5">
                  <c:v>9.3384824741209675E-6</c:v>
                </c:pt>
                <c:pt idx="6">
                  <c:v>1.4852217440063399E-5</c:v>
                </c:pt>
                <c:pt idx="7">
                  <c:v>2.2890950541360944E-5</c:v>
                </c:pt>
                <c:pt idx="8">
                  <c:v>3.4191134658170782E-5</c:v>
                </c:pt>
                <c:pt idx="9">
                  <c:v>4.9497196296507922E-5</c:v>
                </c:pt>
                <c:pt idx="10">
                  <c:v>6.9461911480032541E-5</c:v>
                </c:pt>
                <c:pt idx="11">
                  <c:v>9.4531305379216211E-5</c:v>
                </c:pt>
                <c:pt idx="12">
                  <c:v>1.2485088052270935E-4</c:v>
                </c:pt>
                <c:pt idx="13">
                  <c:v>1.6026060097595074E-4</c:v>
                </c:pt>
                <c:pt idx="14">
                  <c:v>2.004881311156736E-4</c:v>
                </c:pt>
                <c:pt idx="15">
                  <c:v>2.4570563116765051E-4</c:v>
                </c:pt>
                <c:pt idx="16">
                  <c:v>2.9768466187370275E-4</c:v>
                </c:pt>
                <c:pt idx="17">
                  <c:v>3.6185703197826415E-4</c:v>
                </c:pt>
                <c:pt idx="18">
                  <c:v>4.5063740244138397E-4</c:v>
                </c:pt>
                <c:pt idx="19">
                  <c:v>5.8832517118727204E-4</c:v>
                </c:pt>
                <c:pt idx="20">
                  <c:v>8.1768240368390718E-4</c:v>
                </c:pt>
                <c:pt idx="21">
                  <c:v>1.207768875752083E-3</c:v>
                </c:pt>
                <c:pt idx="22">
                  <c:v>1.8617312671822669E-3</c:v>
                </c:pt>
                <c:pt idx="23">
                  <c:v>2.9220492653648684E-3</c:v>
                </c:pt>
                <c:pt idx="24">
                  <c:v>4.5695276558656685E-3</c:v>
                </c:pt>
                <c:pt idx="25">
                  <c:v>7.0116602664435142E-3</c:v>
                </c:pt>
                <c:pt idx="26">
                  <c:v>1.0456635496295311E-2</c:v>
                </c:pt>
                <c:pt idx="27">
                  <c:v>1.5071861547837191E-2</c:v>
                </c:pt>
                <c:pt idx="28">
                  <c:v>2.0930580727011129E-2</c:v>
                </c:pt>
                <c:pt idx="29">
                  <c:v>2.7956078363237779E-2</c:v>
                </c:pt>
                <c:pt idx="30">
                  <c:v>3.587826435930614E-2</c:v>
                </c:pt>
                <c:pt idx="31">
                  <c:v>4.4219469687379026E-2</c:v>
                </c:pt>
                <c:pt idx="32">
                  <c:v>5.23229809574468E-2</c:v>
                </c:pt>
                <c:pt idx="33">
                  <c:v>5.9428565936586408E-2</c:v>
                </c:pt>
                <c:pt idx="34">
                  <c:v>6.4785906897454726E-2</c:v>
                </c:pt>
                <c:pt idx="35">
                  <c:v>6.7783626932160487E-2</c:v>
                </c:pt>
                <c:pt idx="36">
                  <c:v>6.8063533083691383E-2</c:v>
                </c:pt>
                <c:pt idx="37">
                  <c:v>6.5590621394213025E-2</c:v>
                </c:pt>
                <c:pt idx="38">
                  <c:v>6.0659940125924336E-2</c:v>
                </c:pt>
                <c:pt idx="39">
                  <c:v>5.3838440741559385E-2</c:v>
                </c:pt>
                <c:pt idx="40">
                  <c:v>4.5857631482916869E-2</c:v>
                </c:pt>
                <c:pt idx="41">
                  <c:v>3.7485080506289382E-2</c:v>
                </c:pt>
                <c:pt idx="42">
                  <c:v>2.9405757446689312E-2</c:v>
                </c:pt>
                <c:pt idx="43">
                  <c:v>2.2137727116211887E-2</c:v>
                </c:pt>
                <c:pt idx="44">
                  <c:v>1.599411463816031E-2</c:v>
                </c:pt>
                <c:pt idx="45">
                  <c:v>1.1089545770576333E-2</c:v>
                </c:pt>
                <c:pt idx="46">
                  <c:v>7.3789336205570613E-3</c:v>
                </c:pt>
                <c:pt idx="47">
                  <c:v>4.7119393043920377E-3</c:v>
                </c:pt>
                <c:pt idx="48">
                  <c:v>2.8875663704729933E-3</c:v>
                </c:pt>
                <c:pt idx="49">
                  <c:v>1.6982062868128344E-3</c:v>
                </c:pt>
                <c:pt idx="50">
                  <c:v>9.5846240003007502E-4</c:v>
                </c:pt>
              </c:numCache>
            </c:numRef>
          </c:val>
        </c:ser>
        <c:ser>
          <c:idx val="34"/>
          <c:order val="34"/>
          <c:tx>
            <c:strRef>
              <c:f>'Mixture of 2 Gaussian dist.'!$B$184</c:f>
              <c:strCache>
                <c:ptCount val="1"/>
                <c:pt idx="0">
                  <c:v>3.510488145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dist.'!$C$184:$BA$184</c:f>
              <c:numCache>
                <c:formatCode>General</c:formatCode>
                <c:ptCount val="51"/>
                <c:pt idx="0">
                  <c:v>2.7010175083891542E-7</c:v>
                </c:pt>
                <c:pt idx="1">
                  <c:v>5.0558188269449756E-7</c:v>
                </c:pt>
                <c:pt idx="2">
                  <c:v>9.1705693187467694E-7</c:v>
                </c:pt>
                <c:pt idx="3">
                  <c:v>1.6119185991337408E-6</c:v>
                </c:pt>
                <c:pt idx="4">
                  <c:v>2.7455840823782194E-6</c:v>
                </c:pt>
                <c:pt idx="5">
                  <c:v>4.5318672600930322E-6</c:v>
                </c:pt>
                <c:pt idx="6">
                  <c:v>7.2490794231604392E-6</c:v>
                </c:pt>
                <c:pt idx="7">
                  <c:v>1.1237702987601429E-5</c:v>
                </c:pt>
                <c:pt idx="8">
                  <c:v>1.6885503359387888E-5</c:v>
                </c:pt>
                <c:pt idx="9">
                  <c:v>2.4597958475115511E-5</c:v>
                </c:pt>
                <c:pt idx="10">
                  <c:v>3.4757332043868027E-5</c:v>
                </c:pt>
                <c:pt idx="11">
                  <c:v>4.7684579151799028E-5</c:v>
                </c:pt>
                <c:pt idx="12">
                  <c:v>6.363736234652491E-5</c:v>
                </c:pt>
                <c:pt idx="13">
                  <c:v>8.2908749706940462E-5</c:v>
                </c:pt>
                <c:pt idx="14">
                  <c:v>1.061397499262986E-4</c:v>
                </c:pt>
                <c:pt idx="15">
                  <c:v>1.3502939970724183E-4</c:v>
                </c:pt>
                <c:pt idx="16">
                  <c:v>1.7371835800903513E-4</c:v>
                </c:pt>
                <c:pt idx="17">
                  <c:v>2.3122144414657768E-4</c:v>
                </c:pt>
                <c:pt idx="18">
                  <c:v>3.2534937395828074E-4</c:v>
                </c:pt>
                <c:pt idx="19">
                  <c:v>4.8850810003132027E-4</c:v>
                </c:pt>
                <c:pt idx="20">
                  <c:v>7.7547320471805094E-4</c:v>
                </c:pt>
                <c:pt idx="21">
                  <c:v>1.2725727673839897E-3</c:v>
                </c:pt>
                <c:pt idx="22">
                  <c:v>2.1066023236995823E-3</c:v>
                </c:pt>
                <c:pt idx="23">
                  <c:v>3.4503417247523792E-3</c:v>
                </c:pt>
                <c:pt idx="24">
                  <c:v>5.5201368882092025E-3</c:v>
                </c:pt>
                <c:pt idx="25">
                  <c:v>8.5603661519355872E-3</c:v>
                </c:pt>
                <c:pt idx="26">
                  <c:v>1.2810634089591929E-2</c:v>
                </c:pt>
                <c:pt idx="27">
                  <c:v>1.8454946400895796E-2</c:v>
                </c:pt>
                <c:pt idx="28">
                  <c:v>2.5557927666124178E-2</c:v>
                </c:pt>
                <c:pt idx="29">
                  <c:v>3.4000185991289011E-2</c:v>
                </c:pt>
                <c:pt idx="30">
                  <c:v>4.3430809458139333E-2</c:v>
                </c:pt>
                <c:pt idx="31">
                  <c:v>5.3256682109644453E-2</c:v>
                </c:pt>
                <c:pt idx="32">
                  <c:v>6.2683446052812397E-2</c:v>
                </c:pt>
                <c:pt idx="33">
                  <c:v>7.0811197012599067E-2</c:v>
                </c:pt>
                <c:pt idx="34">
                  <c:v>7.6772008747495291E-2</c:v>
                </c:pt>
                <c:pt idx="35">
                  <c:v>7.988130736790261E-2</c:v>
                </c:pt>
                <c:pt idx="36">
                  <c:v>7.9766871149063806E-2</c:v>
                </c:pt>
                <c:pt idx="37">
                  <c:v>7.6441900481069094E-2</c:v>
                </c:pt>
                <c:pt idx="38">
                  <c:v>7.0302341234932009E-2</c:v>
                </c:pt>
                <c:pt idx="39">
                  <c:v>6.2049205358469257E-2</c:v>
                </c:pt>
                <c:pt idx="40">
                  <c:v>5.2556933661225561E-2</c:v>
                </c:pt>
                <c:pt idx="41">
                  <c:v>4.2721914896746691E-2</c:v>
                </c:pt>
                <c:pt idx="42">
                  <c:v>3.3327137622803517E-2</c:v>
                </c:pt>
                <c:pt idx="43">
                  <c:v>2.4950069367686213E-2</c:v>
                </c:pt>
                <c:pt idx="44">
                  <c:v>1.7925522743344455E-2</c:v>
                </c:pt>
                <c:pt idx="45">
                  <c:v>1.2359422045693132E-2</c:v>
                </c:pt>
                <c:pt idx="46">
                  <c:v>8.1780679362780193E-3</c:v>
                </c:pt>
                <c:pt idx="47">
                  <c:v>5.1931331257133303E-3</c:v>
                </c:pt>
                <c:pt idx="48">
                  <c:v>3.1647132879988027E-3</c:v>
                </c:pt>
                <c:pt idx="49">
                  <c:v>1.8508253815116404E-3</c:v>
                </c:pt>
                <c:pt idx="50">
                  <c:v>1.0387778403070937E-3</c:v>
                </c:pt>
              </c:numCache>
            </c:numRef>
          </c:val>
        </c:ser>
        <c:ser>
          <c:idx val="35"/>
          <c:order val="35"/>
          <c:tx>
            <c:strRef>
              <c:f>'Mixture of 2 Gaussian dist.'!$B$185</c:f>
              <c:strCache>
                <c:ptCount val="1"/>
                <c:pt idx="0">
                  <c:v>3.701674813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dist.'!$C$185:$BA$185</c:f>
              <c:numCache>
                <c:formatCode>General</c:formatCode>
                <c:ptCount val="51"/>
                <c:pt idx="0">
                  <c:v>1.2278014990718145E-7</c:v>
                </c:pt>
                <c:pt idx="1">
                  <c:v>2.3112980718392269E-7</c:v>
                </c:pt>
                <c:pt idx="2">
                  <c:v>4.2162519533085979E-7</c:v>
                </c:pt>
                <c:pt idx="3">
                  <c:v>7.4532153703084764E-7</c:v>
                </c:pt>
                <c:pt idx="4">
                  <c:v>1.2767772646787272E-6</c:v>
                </c:pt>
                <c:pt idx="5">
                  <c:v>2.119616649229469E-6</c:v>
                </c:pt>
                <c:pt idx="6">
                  <c:v>3.4103896474857965E-6</c:v>
                </c:pt>
                <c:pt idx="7">
                  <c:v>5.3189292925986642E-6</c:v>
                </c:pt>
                <c:pt idx="8">
                  <c:v>8.0437295530010246E-6</c:v>
                </c:pt>
                <c:pt idx="9">
                  <c:v>1.1802719552980965E-5</c:v>
                </c:pt>
                <c:pt idx="10">
                  <c:v>1.682462849552344E-5</c:v>
                </c:pt>
                <c:pt idx="11">
                  <c:v>2.3356284245931142E-5</c:v>
                </c:pt>
                <c:pt idx="12">
                  <c:v>3.1720434043173034E-5</c:v>
                </c:pt>
                <c:pt idx="13">
                  <c:v>4.2492568573768016E-5</c:v>
                </c:pt>
                <c:pt idx="14">
                  <c:v>5.692074271991336E-5</c:v>
                </c:pt>
                <c:pt idx="15">
                  <c:v>7.7795522631994278E-5</c:v>
                </c:pt>
                <c:pt idx="16">
                  <c:v>1.1108679279624391E-4</c:v>
                </c:pt>
                <c:pt idx="17">
                  <c:v>1.687805530969299E-4</c:v>
                </c:pt>
                <c:pt idx="18">
                  <c:v>2.7341843765408907E-4</c:v>
                </c:pt>
                <c:pt idx="19">
                  <c:v>4.6476508081474407E-4</c:v>
                </c:pt>
                <c:pt idx="20">
                  <c:v>8.0865988835303901E-4</c:v>
                </c:pt>
                <c:pt idx="21">
                  <c:v>1.4073022034777948E-3</c:v>
                </c:pt>
                <c:pt idx="22">
                  <c:v>2.4089089919592421E-3</c:v>
                </c:pt>
                <c:pt idx="23">
                  <c:v>4.0130240425088537E-3</c:v>
                </c:pt>
                <c:pt idx="24">
                  <c:v>6.4662367637104588E-3</c:v>
                </c:pt>
                <c:pt idx="25">
                  <c:v>1.0042533172706404E-2</c:v>
                </c:pt>
                <c:pt idx="26">
                  <c:v>1.5003964775746861E-2</c:v>
                </c:pt>
                <c:pt idx="27">
                  <c:v>2.1541518095324813E-2</c:v>
                </c:pt>
                <c:pt idx="28">
                  <c:v>2.9702855623036883E-2</c:v>
                </c:pt>
                <c:pt idx="29">
                  <c:v>3.9321479374535263E-2</c:v>
                </c:pt>
                <c:pt idx="30">
                  <c:v>4.9968010569375949E-2</c:v>
                </c:pt>
                <c:pt idx="31">
                  <c:v>6.0945313081869325E-2</c:v>
                </c:pt>
                <c:pt idx="32">
                  <c:v>7.1342672289147951E-2</c:v>
                </c:pt>
                <c:pt idx="33">
                  <c:v>8.0150237527271476E-2</c:v>
                </c:pt>
                <c:pt idx="34">
                  <c:v>8.6416827465466653E-2</c:v>
                </c:pt>
                <c:pt idx="35">
                  <c:v>8.9418020267743134E-2</c:v>
                </c:pt>
                <c:pt idx="36">
                  <c:v>8.8793703856810624E-2</c:v>
                </c:pt>
                <c:pt idx="37">
                  <c:v>8.4619022717611639E-2</c:v>
                </c:pt>
                <c:pt idx="38">
                  <c:v>7.7389412155670231E-2</c:v>
                </c:pt>
                <c:pt idx="39">
                  <c:v>6.7923834720517801E-2</c:v>
                </c:pt>
                <c:pt idx="40">
                  <c:v>5.721232344238366E-2</c:v>
                </c:pt>
                <c:pt idx="41">
                  <c:v>4.6246991881719587E-2</c:v>
                </c:pt>
                <c:pt idx="42">
                  <c:v>3.5875979797206053E-2</c:v>
                </c:pt>
                <c:pt idx="43">
                  <c:v>2.6708551959850731E-2</c:v>
                </c:pt>
                <c:pt idx="44">
                  <c:v>1.9081967476346627E-2</c:v>
                </c:pt>
                <c:pt idx="45">
                  <c:v>1.3083446471299491E-2</c:v>
                </c:pt>
                <c:pt idx="46">
                  <c:v>8.6088938457252306E-3</c:v>
                </c:pt>
                <c:pt idx="47">
                  <c:v>5.4362410972376768E-3</c:v>
                </c:pt>
                <c:pt idx="48">
                  <c:v>3.2943991941851171E-3</c:v>
                </c:pt>
                <c:pt idx="49">
                  <c:v>1.9159311016127593E-3</c:v>
                </c:pt>
                <c:pt idx="50">
                  <c:v>1.0693249465161228E-3</c:v>
                </c:pt>
              </c:numCache>
            </c:numRef>
          </c:val>
        </c:ser>
        <c:ser>
          <c:idx val="36"/>
          <c:order val="36"/>
          <c:tx>
            <c:strRef>
              <c:f>'Mixture of 2 Gaussian dist.'!$B$186</c:f>
              <c:strCache>
                <c:ptCount val="1"/>
                <c:pt idx="0">
                  <c:v>3.892861481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dist.'!$C$186:$BA$186</c:f>
              <c:numCache>
                <c:formatCode>General</c:formatCode>
                <c:ptCount val="51"/>
                <c:pt idx="0">
                  <c:v>5.3785484967395446E-8</c:v>
                </c:pt>
                <c:pt idx="1">
                  <c:v>1.0182629335476868E-7</c:v>
                </c:pt>
                <c:pt idx="2">
                  <c:v>1.8681145568545276E-7</c:v>
                </c:pt>
                <c:pt idx="3">
                  <c:v>3.3212845915002056E-7</c:v>
                </c:pt>
                <c:pt idx="4">
                  <c:v>5.7225439920192861E-7</c:v>
                </c:pt>
                <c:pt idx="5">
                  <c:v>9.5564561496827373E-7</c:v>
                </c:pt>
                <c:pt idx="6">
                  <c:v>1.5471038487977754E-6</c:v>
                </c:pt>
                <c:pt idx="7">
                  <c:v>2.4290626716891824E-6</c:v>
                </c:pt>
                <c:pt idx="8">
                  <c:v>3.7018288787183638E-6</c:v>
                </c:pt>
                <c:pt idx="9">
                  <c:v>5.4847972106514363E-6</c:v>
                </c:pt>
                <c:pt idx="10">
                  <c:v>7.9255333426626481E-6</c:v>
                </c:pt>
                <c:pt idx="11">
                  <c:v>1.123406317284677E-5</c:v>
                </c:pt>
                <c:pt idx="12">
                  <c:v>1.5780143695577807E-5</c:v>
                </c:pt>
                <c:pt idx="13">
                  <c:v>2.232827805114753E-5</c:v>
                </c:pt>
                <c:pt idx="14">
                  <c:v>3.2546816098165462E-5</c:v>
                </c:pt>
                <c:pt idx="15">
                  <c:v>5.0020054773316009E-5</c:v>
                </c:pt>
                <c:pt idx="16">
                  <c:v>8.211310124783804E-5</c:v>
                </c:pt>
                <c:pt idx="17">
                  <c:v>1.4316354193838699E-4</c:v>
                </c:pt>
                <c:pt idx="18">
                  <c:v>2.595380532902288E-4</c:v>
                </c:pt>
                <c:pt idx="19">
                  <c:v>4.7698129783113282E-4</c:v>
                </c:pt>
                <c:pt idx="20">
                  <c:v>8.7024086266062847E-4</c:v>
                </c:pt>
                <c:pt idx="21">
                  <c:v>1.5540229616329189E-3</c:v>
                </c:pt>
                <c:pt idx="22">
                  <c:v>2.6928739353443152E-3</c:v>
                </c:pt>
                <c:pt idx="23">
                  <c:v>4.505796352196419E-3</c:v>
                </c:pt>
                <c:pt idx="24">
                  <c:v>7.259870603544512E-3</c:v>
                </c:pt>
                <c:pt idx="25">
                  <c:v>1.124680506546453E-2</c:v>
                </c:pt>
                <c:pt idx="26">
                  <c:v>1.6738250409840408E-2</c:v>
                </c:pt>
                <c:pt idx="27">
                  <c:v>2.3920579674482783E-2</c:v>
                </c:pt>
                <c:pt idx="28">
                  <c:v>3.2817330087315827E-2</c:v>
                </c:pt>
                <c:pt idx="29">
                  <c:v>4.3215823741679711E-2</c:v>
                </c:pt>
                <c:pt idx="30">
                  <c:v>5.4620479531938888E-2</c:v>
                </c:pt>
                <c:pt idx="31">
                  <c:v>6.625545050111023E-2</c:v>
                </c:pt>
                <c:pt idx="32">
                  <c:v>7.7131146375436527E-2</c:v>
                </c:pt>
                <c:pt idx="33">
                  <c:v>8.6173453842311537E-2</c:v>
                </c:pt>
                <c:pt idx="34">
                  <c:v>9.2395101684128636E-2</c:v>
                </c:pt>
                <c:pt idx="35">
                  <c:v>9.5072276909886913E-2</c:v>
                </c:pt>
                <c:pt idx="36">
                  <c:v>9.3883012700186619E-2</c:v>
                </c:pt>
                <c:pt idx="37">
                  <c:v>8.8970805824285543E-2</c:v>
                </c:pt>
                <c:pt idx="38">
                  <c:v>8.0916099034414393E-2</c:v>
                </c:pt>
                <c:pt idx="39">
                  <c:v>7.0623456148653965E-2</c:v>
                </c:pt>
                <c:pt idx="40">
                  <c:v>5.9154724449295704E-2</c:v>
                </c:pt>
                <c:pt idx="41">
                  <c:v>4.7550625364645792E-2</c:v>
                </c:pt>
                <c:pt idx="42">
                  <c:v>3.6681686110712541E-2</c:v>
                </c:pt>
                <c:pt idx="43">
                  <c:v>2.7156172852553652E-2</c:v>
                </c:pt>
                <c:pt idx="44">
                  <c:v>1.9293633652700117E-2</c:v>
                </c:pt>
                <c:pt idx="45">
                  <c:v>1.315484282033421E-2</c:v>
                </c:pt>
                <c:pt idx="46">
                  <c:v>8.6076273997764182E-3</c:v>
                </c:pt>
                <c:pt idx="47">
                  <c:v>5.405145741944054E-3</c:v>
                </c:pt>
                <c:pt idx="48">
                  <c:v>3.2572981019075319E-3</c:v>
                </c:pt>
                <c:pt idx="49">
                  <c:v>1.8837954737367765E-3</c:v>
                </c:pt>
                <c:pt idx="50">
                  <c:v>1.0455291242098344E-3</c:v>
                </c:pt>
              </c:numCache>
            </c:numRef>
          </c:val>
        </c:ser>
        <c:ser>
          <c:idx val="37"/>
          <c:order val="37"/>
          <c:tx>
            <c:strRef>
              <c:f>'Mixture of 2 Gaussian dist.'!$B$187</c:f>
              <c:strCache>
                <c:ptCount val="1"/>
                <c:pt idx="0">
                  <c:v>4.084048149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dist.'!$C$187:$BA$187</c:f>
              <c:numCache>
                <c:formatCode>General</c:formatCode>
                <c:ptCount val="51"/>
                <c:pt idx="0">
                  <c:v>2.2706150110239012E-8</c:v>
                </c:pt>
                <c:pt idx="1">
                  <c:v>4.3232943526897512E-8</c:v>
                </c:pt>
                <c:pt idx="2">
                  <c:v>7.9772134298178961E-8</c:v>
                </c:pt>
                <c:pt idx="3">
                  <c:v>1.4265296209105625E-7</c:v>
                </c:pt>
                <c:pt idx="4">
                  <c:v>2.4726424598006948E-7</c:v>
                </c:pt>
                <c:pt idx="5">
                  <c:v>4.1553764794405085E-7</c:v>
                </c:pt>
                <c:pt idx="6">
                  <c:v>6.7742995628405144E-7</c:v>
                </c:pt>
                <c:pt idx="7">
                  <c:v>1.0724875229734945E-6</c:v>
                </c:pt>
                <c:pt idx="8">
                  <c:v>1.6523702729976526E-6</c:v>
                </c:pt>
                <c:pt idx="9">
                  <c:v>2.4873981176574512E-6</c:v>
                </c:pt>
                <c:pt idx="10">
                  <c:v>3.6853350926695761E-6</c:v>
                </c:pt>
                <c:pt idx="11">
                  <c:v>5.4416334656793766E-6</c:v>
                </c:pt>
                <c:pt idx="12">
                  <c:v>8.1620401862647103E-6</c:v>
                </c:pt>
                <c:pt idx="13">
                  <c:v>1.2737887196444233E-5</c:v>
                </c:pt>
                <c:pt idx="14">
                  <c:v>2.1119949648328845E-5</c:v>
                </c:pt>
                <c:pt idx="15">
                  <c:v>3.743450197726193E-5</c:v>
                </c:pt>
                <c:pt idx="16">
                  <c:v>7.0010432239247801E-5</c:v>
                </c:pt>
                <c:pt idx="17">
                  <c:v>1.3480961531285048E-4</c:v>
                </c:pt>
                <c:pt idx="18">
                  <c:v>2.6080324037881287E-4</c:v>
                </c:pt>
                <c:pt idx="19">
                  <c:v>4.976911657947864E-4</c:v>
                </c:pt>
                <c:pt idx="20">
                  <c:v>9.2585645079082401E-4</c:v>
                </c:pt>
                <c:pt idx="21">
                  <c:v>1.6674359369897665E-3</c:v>
                </c:pt>
                <c:pt idx="22">
                  <c:v>2.8958496622003564E-3</c:v>
                </c:pt>
                <c:pt idx="23">
                  <c:v>4.8393182888331497E-3</c:v>
                </c:pt>
                <c:pt idx="24">
                  <c:v>7.7724439997371849E-3</c:v>
                </c:pt>
                <c:pt idx="25">
                  <c:v>1.1989825471201417E-2</c:v>
                </c:pt>
                <c:pt idx="26">
                  <c:v>1.7757985835049006E-2</c:v>
                </c:pt>
                <c:pt idx="27">
                  <c:v>2.524721230736653E-2</c:v>
                </c:pt>
                <c:pt idx="28">
                  <c:v>3.4452725074636495E-2</c:v>
                </c:pt>
                <c:pt idx="29">
                  <c:v>4.5122882643996151E-2</c:v>
                </c:pt>
                <c:pt idx="30">
                  <c:v>5.6717579527507764E-2</c:v>
                </c:pt>
                <c:pt idx="31">
                  <c:v>6.8419081924480096E-2</c:v>
                </c:pt>
                <c:pt idx="32">
                  <c:v>7.920823877897154E-2</c:v>
                </c:pt>
                <c:pt idx="33">
                  <c:v>8.8002302277206457E-2</c:v>
                </c:pt>
                <c:pt idx="34">
                  <c:v>9.3831035966573842E-2</c:v>
                </c:pt>
                <c:pt idx="35">
                  <c:v>9.6012270949792158E-2</c:v>
                </c:pt>
                <c:pt idx="36">
                  <c:v>9.4283153553273505E-2</c:v>
                </c:pt>
                <c:pt idx="37">
                  <c:v>8.8852204575574537E-2</c:v>
                </c:pt>
                <c:pt idx="38">
                  <c:v>8.0357947367550378E-2</c:v>
                </c:pt>
                <c:pt idx="39">
                  <c:v>6.9745443398255599E-2</c:v>
                </c:pt>
                <c:pt idx="40">
                  <c:v>5.8093712992025981E-2</c:v>
                </c:pt>
                <c:pt idx="41">
                  <c:v>4.6437482310208812E-2</c:v>
                </c:pt>
                <c:pt idx="42">
                  <c:v>3.5623320463063025E-2</c:v>
                </c:pt>
                <c:pt idx="43">
                  <c:v>2.6225652914147621E-2</c:v>
                </c:pt>
                <c:pt idx="44">
                  <c:v>1.8528675949507127E-2</c:v>
                </c:pt>
                <c:pt idx="45">
                  <c:v>1.2562862861151065E-2</c:v>
                </c:pt>
                <c:pt idx="46">
                  <c:v>8.1744586685490884E-3</c:v>
                </c:pt>
                <c:pt idx="47">
                  <c:v>5.1045273151976382E-3</c:v>
                </c:pt>
                <c:pt idx="48">
                  <c:v>3.0589910469454792E-3</c:v>
                </c:pt>
                <c:pt idx="49">
                  <c:v>1.759247821264304E-3</c:v>
                </c:pt>
                <c:pt idx="50">
                  <c:v>9.7096143068973215E-4</c:v>
                </c:pt>
              </c:numCache>
            </c:numRef>
          </c:val>
        </c:ser>
        <c:ser>
          <c:idx val="38"/>
          <c:order val="38"/>
          <c:tx>
            <c:strRef>
              <c:f>'Mixture of 2 Gaussian dist.'!$B$188</c:f>
              <c:strCache>
                <c:ptCount val="1"/>
                <c:pt idx="0">
                  <c:v>4.275234817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dist.'!$C$188:$BA$188</c:f>
              <c:numCache>
                <c:formatCode>General</c:formatCode>
                <c:ptCount val="51"/>
                <c:pt idx="0">
                  <c:v>9.2380071512714704E-9</c:v>
                </c:pt>
                <c:pt idx="1">
                  <c:v>1.7690985654883865E-8</c:v>
                </c:pt>
                <c:pt idx="2">
                  <c:v>3.2834883998253351E-8</c:v>
                </c:pt>
                <c:pt idx="3">
                  <c:v>5.9075036881674593E-8</c:v>
                </c:pt>
                <c:pt idx="4">
                  <c:v>1.0306485149084927E-7</c:v>
                </c:pt>
                <c:pt idx="5">
                  <c:v>1.7448659636918043E-7</c:v>
                </c:pt>
                <c:pt idx="6">
                  <c:v>2.870546709118997E-7</c:v>
                </c:pt>
                <c:pt idx="7">
                  <c:v>4.6014212443398354E-7</c:v>
                </c:pt>
                <c:pt idx="8">
                  <c:v>7.2235604198900875E-7</c:v>
                </c:pt>
                <c:pt idx="9">
                  <c:v>1.1207292459017032E-6</c:v>
                </c:pt>
                <c:pt idx="10">
                  <c:v>1.7445713568841847E-6</c:v>
                </c:pt>
                <c:pt idx="11">
                  <c:v>2.7844064139479436E-6</c:v>
                </c:pt>
                <c:pt idx="12">
                  <c:v>4.6687520767783245E-6</c:v>
                </c:pt>
                <c:pt idx="13">
                  <c:v>8.3618802011331748E-6</c:v>
                </c:pt>
                <c:pt idx="14">
                  <c:v>1.5972291397353061E-5</c:v>
                </c:pt>
                <c:pt idx="15">
                  <c:v>3.1919542254278687E-5</c:v>
                </c:pt>
                <c:pt idx="16">
                  <c:v>6.5029548567284456E-5</c:v>
                </c:pt>
                <c:pt idx="17">
                  <c:v>1.3204291960529547E-4</c:v>
                </c:pt>
                <c:pt idx="18">
                  <c:v>2.6305260404811047E-4</c:v>
                </c:pt>
                <c:pt idx="19">
                  <c:v>5.0921108582866652E-4</c:v>
                </c:pt>
                <c:pt idx="20">
                  <c:v>9.5250459536240408E-4</c:v>
                </c:pt>
                <c:pt idx="21">
                  <c:v>1.7163501803549664E-3</c:v>
                </c:pt>
                <c:pt idx="22">
                  <c:v>2.9742383045943364E-3</c:v>
                </c:pt>
                <c:pt idx="23">
                  <c:v>4.9519055613201782E-3</c:v>
                </c:pt>
                <c:pt idx="24">
                  <c:v>7.9172409932763369E-3</c:v>
                </c:pt>
                <c:pt idx="25">
                  <c:v>1.2152285945492685E-2</c:v>
                </c:pt>
                <c:pt idx="26">
                  <c:v>1.7904276951188264E-2</c:v>
                </c:pt>
                <c:pt idx="27">
                  <c:v>2.5318168555537375E-2</c:v>
                </c:pt>
                <c:pt idx="28">
                  <c:v>3.4360782249117941E-2</c:v>
                </c:pt>
                <c:pt idx="29">
                  <c:v>4.4754515198036034E-2</c:v>
                </c:pt>
                <c:pt idx="30">
                  <c:v>5.5943126193670416E-2</c:v>
                </c:pt>
                <c:pt idx="31">
                  <c:v>6.7110212679723669E-2</c:v>
                </c:pt>
                <c:pt idx="32">
                  <c:v>7.726096731575785E-2</c:v>
                </c:pt>
                <c:pt idx="33">
                  <c:v>8.5361083034011007E-2</c:v>
                </c:pt>
                <c:pt idx="34">
                  <c:v>9.0508030251550284E-2</c:v>
                </c:pt>
                <c:pt idx="35">
                  <c:v>9.209609907887191E-2</c:v>
                </c:pt>
                <c:pt idx="36">
                  <c:v>8.9933600769009858E-2</c:v>
                </c:pt>
                <c:pt idx="37">
                  <c:v>8.4280901288413895E-2</c:v>
                </c:pt>
                <c:pt idx="38">
                  <c:v>7.5798862824510232E-2</c:v>
                </c:pt>
                <c:pt idx="39">
                  <c:v>6.5421796991128364E-2</c:v>
                </c:pt>
                <c:pt idx="40">
                  <c:v>5.4188666558393425E-2</c:v>
                </c:pt>
                <c:pt idx="41">
                  <c:v>4.3074540009149904E-2</c:v>
                </c:pt>
                <c:pt idx="42">
                  <c:v>3.2859352678037558E-2</c:v>
                </c:pt>
                <c:pt idx="43">
                  <c:v>2.4056005760174335E-2</c:v>
                </c:pt>
                <c:pt idx="44">
                  <c:v>1.6901069485949185E-2</c:v>
                </c:pt>
                <c:pt idx="45">
                  <c:v>1.1395437500824706E-2</c:v>
                </c:pt>
                <c:pt idx="46">
                  <c:v>7.3735047565736582E-3</c:v>
                </c:pt>
                <c:pt idx="47">
                  <c:v>4.5787092742705492E-3</c:v>
                </c:pt>
                <c:pt idx="48">
                  <c:v>2.7285901962465788E-3</c:v>
                </c:pt>
                <c:pt idx="49">
                  <c:v>1.5604853669122663E-3</c:v>
                </c:pt>
                <c:pt idx="50">
                  <c:v>8.5646028013988532E-4</c:v>
                </c:pt>
              </c:numCache>
            </c:numRef>
          </c:val>
        </c:ser>
        <c:ser>
          <c:idx val="39"/>
          <c:order val="39"/>
          <c:tx>
            <c:strRef>
              <c:f>'Mixture of 2 Gaussian dist.'!$B$189</c:f>
              <c:strCache>
                <c:ptCount val="1"/>
                <c:pt idx="0">
                  <c:v>4.466421485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dist.'!$C$189:$BA$189</c:f>
              <c:numCache>
                <c:formatCode>General</c:formatCode>
                <c:ptCount val="51"/>
                <c:pt idx="0">
                  <c:v>3.6225176966532745E-9</c:v>
                </c:pt>
                <c:pt idx="1">
                  <c:v>6.9784237976642131E-9</c:v>
                </c:pt>
                <c:pt idx="2">
                  <c:v>1.3032671432793856E-8</c:v>
                </c:pt>
                <c:pt idx="3">
                  <c:v>2.3606823023699486E-8</c:v>
                </c:pt>
                <c:pt idx="4">
                  <c:v>4.1511356676638269E-8</c:v>
                </c:pt>
                <c:pt idx="5">
                  <c:v>7.0990938050401746E-8</c:v>
                </c:pt>
                <c:pt idx="6">
                  <c:v>1.1848065345403972E-7</c:v>
                </c:pt>
                <c:pt idx="7">
                  <c:v>1.942176151333974E-7</c:v>
                </c:pt>
                <c:pt idx="8">
                  <c:v>3.1623609125538698E-7</c:v>
                </c:pt>
                <c:pt idx="9">
                  <c:v>5.2067030579849945E-7</c:v>
                </c:pt>
                <c:pt idx="10">
                  <c:v>8.8769265165790321E-7</c:v>
                </c:pt>
                <c:pt idx="11">
                  <c:v>1.6037437751402846E-6</c:v>
                </c:pt>
                <c:pt idx="12">
                  <c:v>3.1027455571276758E-6</c:v>
                </c:pt>
                <c:pt idx="13">
                  <c:v>6.3684724964306522E-6</c:v>
                </c:pt>
                <c:pt idx="14">
                  <c:v>1.3544588787814559E-5</c:v>
                </c:pt>
                <c:pt idx="15">
                  <c:v>2.9091859608546274E-5</c:v>
                </c:pt>
                <c:pt idx="16">
                  <c:v>6.1845257103098158E-5</c:v>
                </c:pt>
                <c:pt idx="17">
                  <c:v>1.2842299161973676E-4</c:v>
                </c:pt>
                <c:pt idx="18">
                  <c:v>2.5845069875811156E-4</c:v>
                </c:pt>
                <c:pt idx="19">
                  <c:v>5.0186718983058487E-4</c:v>
                </c:pt>
                <c:pt idx="20">
                  <c:v>9.3802729084048139E-4</c:v>
                </c:pt>
                <c:pt idx="21">
                  <c:v>1.685302070230486E-3</c:v>
                </c:pt>
                <c:pt idx="22">
                  <c:v>2.9084309032669487E-3</c:v>
                </c:pt>
                <c:pt idx="23">
                  <c:v>4.8193080365783354E-3</c:v>
                </c:pt>
                <c:pt idx="24">
                  <c:v>7.6658390134938456E-3</c:v>
                </c:pt>
                <c:pt idx="25">
                  <c:v>1.1703897352179979E-2</c:v>
                </c:pt>
                <c:pt idx="26">
                  <c:v>1.7150124418252928E-2</c:v>
                </c:pt>
                <c:pt idx="27">
                  <c:v>2.4118658731839923E-2</c:v>
                </c:pt>
                <c:pt idx="28">
                  <c:v>3.255206429243522E-2</c:v>
                </c:pt>
                <c:pt idx="29">
                  <c:v>4.2163621276476985E-2</c:v>
                </c:pt>
                <c:pt idx="30">
                  <c:v>5.2411677680994445E-2</c:v>
                </c:pt>
                <c:pt idx="31">
                  <c:v>6.2524055205077061E-2</c:v>
                </c:pt>
                <c:pt idx="32">
                  <c:v>7.1580384944334108E-2</c:v>
                </c:pt>
                <c:pt idx="33">
                  <c:v>7.8644450162316151E-2</c:v>
                </c:pt>
                <c:pt idx="34">
                  <c:v>8.2921833534837508E-2</c:v>
                </c:pt>
                <c:pt idx="35">
                  <c:v>8.3906622408026765E-2</c:v>
                </c:pt>
                <c:pt idx="36">
                  <c:v>8.1479801676966931E-2</c:v>
                </c:pt>
                <c:pt idx="37">
                  <c:v>7.5932898625585013E-2</c:v>
                </c:pt>
                <c:pt idx="38">
                  <c:v>6.7910390859436454E-2</c:v>
                </c:pt>
                <c:pt idx="39">
                  <c:v>5.8286594596622013E-2</c:v>
                </c:pt>
                <c:pt idx="40">
                  <c:v>4.8009514431145678E-2</c:v>
                </c:pt>
                <c:pt idx="41">
                  <c:v>3.7950028782034011E-2</c:v>
                </c:pt>
                <c:pt idx="42">
                  <c:v>2.8788766785652488E-2</c:v>
                </c:pt>
                <c:pt idx="43">
                  <c:v>2.0958498386587469E-2</c:v>
                </c:pt>
                <c:pt idx="44">
                  <c:v>1.4642775763372751E-2</c:v>
                </c:pt>
                <c:pt idx="45">
                  <c:v>9.8177688678750905E-3</c:v>
                </c:pt>
                <c:pt idx="46">
                  <c:v>6.3172539780815412E-3</c:v>
                </c:pt>
                <c:pt idx="47">
                  <c:v>3.9009466640372694E-3</c:v>
                </c:pt>
                <c:pt idx="48">
                  <c:v>2.3117338243523349E-3</c:v>
                </c:pt>
                <c:pt idx="49">
                  <c:v>1.3147154970850757E-3</c:v>
                </c:pt>
                <c:pt idx="50">
                  <c:v>7.175495165673006E-4</c:v>
                </c:pt>
              </c:numCache>
            </c:numRef>
          </c:val>
        </c:ser>
        <c:ser>
          <c:idx val="40"/>
          <c:order val="40"/>
          <c:tx>
            <c:strRef>
              <c:f>'Mixture of 2 Gaussian dist.'!$B$190</c:f>
              <c:strCache>
                <c:ptCount val="1"/>
                <c:pt idx="0">
                  <c:v>4.657608153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dist.'!$C$190:$BA$190</c:f>
              <c:numCache>
                <c:formatCode>General</c:formatCode>
                <c:ptCount val="51"/>
                <c:pt idx="0">
                  <c:v>1.3694672632841627E-9</c:v>
                </c:pt>
                <c:pt idx="1">
                  <c:v>2.6549760225747518E-9</c:v>
                </c:pt>
                <c:pt idx="2">
                  <c:v>4.9935980384127646E-9</c:v>
                </c:pt>
                <c:pt idx="3">
                  <c:v>9.1227067481828645E-9</c:v>
                </c:pt>
                <c:pt idx="4">
                  <c:v>1.622537678404704E-8</c:v>
                </c:pt>
                <c:pt idx="5">
                  <c:v>2.8218843041486511E-8</c:v>
                </c:pt>
                <c:pt idx="6">
                  <c:v>4.8378318651335521E-8</c:v>
                </c:pt>
                <c:pt idx="7">
                  <c:v>8.288488717855586E-8</c:v>
                </c:pt>
                <c:pt idx="8">
                  <c:v>1.448627836430784E-7</c:v>
                </c:pt>
                <c:pt idx="9">
                  <c:v>2.6480025119237743E-7</c:v>
                </c:pt>
                <c:pt idx="10">
                  <c:v>5.1643229904796515E-7</c:v>
                </c:pt>
                <c:pt idx="11">
                  <c:v>1.0779224911313975E-6</c:v>
                </c:pt>
                <c:pt idx="12">
                  <c:v>2.3689017804478272E-6</c:v>
                </c:pt>
                <c:pt idx="13">
                  <c:v>5.3406444553762353E-6</c:v>
                </c:pt>
                <c:pt idx="14">
                  <c:v>1.2055681213283809E-5</c:v>
                </c:pt>
                <c:pt idx="15">
                  <c:v>2.6776896148984032E-5</c:v>
                </c:pt>
                <c:pt idx="16">
                  <c:v>5.788504948192443E-5</c:v>
                </c:pt>
                <c:pt idx="17">
                  <c:v>1.2102411536160738E-4</c:v>
                </c:pt>
                <c:pt idx="18">
                  <c:v>2.4386608514809102E-4</c:v>
                </c:pt>
                <c:pt idx="19">
                  <c:v>4.7268225375497253E-4</c:v>
                </c:pt>
                <c:pt idx="20">
                  <c:v>8.8037998577137982E-4</c:v>
                </c:pt>
                <c:pt idx="21">
                  <c:v>1.5747276012533034E-3</c:v>
                </c:pt>
                <c:pt idx="22">
                  <c:v>2.7042001604505594E-3</c:v>
                </c:pt>
                <c:pt idx="23">
                  <c:v>4.4575385348877127E-3</c:v>
                </c:pt>
                <c:pt idx="24">
                  <c:v>7.0523264296775343E-3</c:v>
                </c:pt>
                <c:pt idx="25">
                  <c:v>1.0708466070373611E-2</c:v>
                </c:pt>
                <c:pt idx="26">
                  <c:v>1.560509473559438E-2</c:v>
                </c:pt>
                <c:pt idx="27">
                  <c:v>2.1824397762827887E-2</c:v>
                </c:pt>
                <c:pt idx="28">
                  <c:v>2.9292098408082744E-2</c:v>
                </c:pt>
                <c:pt idx="29">
                  <c:v>3.7730149764217936E-2</c:v>
                </c:pt>
                <c:pt idx="30">
                  <c:v>4.6639611185517592E-2</c:v>
                </c:pt>
                <c:pt idx="31">
                  <c:v>5.5328485992354536E-2</c:v>
                </c:pt>
                <c:pt idx="32">
                  <c:v>6.2989709186618059E-2</c:v>
                </c:pt>
                <c:pt idx="33">
                  <c:v>6.8820378820981659E-2</c:v>
                </c:pt>
                <c:pt idx="34">
                  <c:v>7.2159075968830991E-2</c:v>
                </c:pt>
                <c:pt idx="35">
                  <c:v>7.2609124517703627E-2</c:v>
                </c:pt>
                <c:pt idx="36">
                  <c:v>7.0116091402612268E-2</c:v>
                </c:pt>
                <c:pt idx="37">
                  <c:v>6.4978609474002302E-2</c:v>
                </c:pt>
                <c:pt idx="38">
                  <c:v>5.7789550550253088E-2</c:v>
                </c:pt>
                <c:pt idx="39">
                  <c:v>4.9323557325669599E-2</c:v>
                </c:pt>
                <c:pt idx="40">
                  <c:v>4.0400396334700862E-2</c:v>
                </c:pt>
                <c:pt idx="41">
                  <c:v>3.1757259105426761E-2</c:v>
                </c:pt>
                <c:pt idx="42">
                  <c:v>2.3956675322227654E-2</c:v>
                </c:pt>
                <c:pt idx="43">
                  <c:v>1.7343479303574834E-2</c:v>
                </c:pt>
                <c:pt idx="44">
                  <c:v>1.2049583858230944E-2</c:v>
                </c:pt>
                <c:pt idx="45">
                  <c:v>8.0340404113402025E-3</c:v>
                </c:pt>
                <c:pt idx="46">
                  <c:v>5.1406982917082513E-3</c:v>
                </c:pt>
                <c:pt idx="47">
                  <c:v>3.1567221641983561E-3</c:v>
                </c:pt>
                <c:pt idx="48">
                  <c:v>1.8602732570529841E-3</c:v>
                </c:pt>
                <c:pt idx="49">
                  <c:v>1.0520666772210884E-3</c:v>
                </c:pt>
                <c:pt idx="50">
                  <c:v>5.7099976098259756E-4</c:v>
                </c:pt>
              </c:numCache>
            </c:numRef>
          </c:val>
        </c:ser>
        <c:ser>
          <c:idx val="41"/>
          <c:order val="41"/>
          <c:tx>
            <c:strRef>
              <c:f>'Mixture of 2 Gaussian dist.'!$B$191</c:f>
              <c:strCache>
                <c:ptCount val="1"/>
                <c:pt idx="0">
                  <c:v>4.848794821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dist.'!$C$191:$BA$191</c:f>
              <c:numCache>
                <c:formatCode>General</c:formatCode>
                <c:ptCount val="51"/>
                <c:pt idx="0">
                  <c:v>4.9945857380370918E-10</c:v>
                </c:pt>
                <c:pt idx="1">
                  <c:v>9.7558953228050832E-10</c:v>
                </c:pt>
                <c:pt idx="2">
                  <c:v>1.852205373566828E-9</c:v>
                </c:pt>
                <c:pt idx="3">
                  <c:v>3.4280744818554913E-9</c:v>
                </c:pt>
                <c:pt idx="4">
                  <c:v>6.2197275659510643E-9</c:v>
                </c:pt>
                <c:pt idx="5">
                  <c:v>1.1173472999896762E-8</c:v>
                </c:pt>
                <c:pt idx="6">
                  <c:v>2.0203009424494633E-8</c:v>
                </c:pt>
                <c:pt idx="7">
                  <c:v>3.7624918156425341E-8</c:v>
                </c:pt>
                <c:pt idx="8">
                  <c:v>7.3977706807316494E-8</c:v>
                </c:pt>
                <c:pt idx="9">
                  <c:v>1.5585834608244897E-7</c:v>
                </c:pt>
                <c:pt idx="10">
                  <c:v>3.5014071838902815E-7</c:v>
                </c:pt>
                <c:pt idx="11">
                  <c:v>8.2065975470768475E-7</c:v>
                </c:pt>
                <c:pt idx="12">
                  <c:v>1.9539692011890466E-6</c:v>
                </c:pt>
                <c:pt idx="13">
                  <c:v>4.6232218897451791E-6</c:v>
                </c:pt>
                <c:pt idx="14">
                  <c:v>1.0710604300384646E-5</c:v>
                </c:pt>
                <c:pt idx="15">
                  <c:v>2.4080222579039103E-5</c:v>
                </c:pt>
                <c:pt idx="16">
                  <c:v>5.2274947214197812E-5</c:v>
                </c:pt>
                <c:pt idx="17">
                  <c:v>1.0927128037114773E-4</c:v>
                </c:pt>
                <c:pt idx="18">
                  <c:v>2.1960383335200588E-4</c:v>
                </c:pt>
                <c:pt idx="19">
                  <c:v>4.2397231087149532E-4</c:v>
                </c:pt>
                <c:pt idx="20">
                  <c:v>7.8596576068569555E-4</c:v>
                </c:pt>
                <c:pt idx="21">
                  <c:v>1.3987215844917234E-3</c:v>
                </c:pt>
                <c:pt idx="22">
                  <c:v>2.3892484360130166E-3</c:v>
                </c:pt>
                <c:pt idx="23">
                  <c:v>3.9170652076128912E-3</c:v>
                </c:pt>
                <c:pt idx="24">
                  <c:v>6.1632709707045699E-3</c:v>
                </c:pt>
                <c:pt idx="25">
                  <c:v>9.3068394758764432E-3</c:v>
                </c:pt>
                <c:pt idx="26">
                  <c:v>1.3487383445259616E-2</c:v>
                </c:pt>
                <c:pt idx="27">
                  <c:v>1.8757901899831921E-2</c:v>
                </c:pt>
                <c:pt idx="28">
                  <c:v>2.5036285026501768E-2</c:v>
                </c:pt>
                <c:pt idx="29">
                  <c:v>3.2068851818218592E-2</c:v>
                </c:pt>
                <c:pt idx="30">
                  <c:v>3.942068229405752E-2</c:v>
                </c:pt>
                <c:pt idx="31">
                  <c:v>4.6504143536265932E-2</c:v>
                </c:pt>
                <c:pt idx="32">
                  <c:v>5.2648463637242411E-2</c:v>
                </c:pt>
                <c:pt idx="33">
                  <c:v>5.7201331889791845E-2</c:v>
                </c:pt>
                <c:pt idx="34">
                  <c:v>5.9642092796018877E-2</c:v>
                </c:pt>
                <c:pt idx="35">
                  <c:v>5.9679591810460064E-2</c:v>
                </c:pt>
                <c:pt idx="36">
                  <c:v>5.7309288310632998E-2</c:v>
                </c:pt>
                <c:pt idx="37">
                  <c:v>5.2814158608682042E-2</c:v>
                </c:pt>
                <c:pt idx="38">
                  <c:v>4.6709140965432883E-2</c:v>
                </c:pt>
                <c:pt idx="39">
                  <c:v>3.964419016329087E-2</c:v>
                </c:pt>
                <c:pt idx="40">
                  <c:v>3.2291139512666989E-2</c:v>
                </c:pt>
                <c:pt idx="41">
                  <c:v>2.5241394082359755E-2</c:v>
                </c:pt>
                <c:pt idx="42">
                  <c:v>1.893518040494006E-2</c:v>
                </c:pt>
                <c:pt idx="43">
                  <c:v>1.3631752708632141E-2</c:v>
                </c:pt>
                <c:pt idx="44">
                  <c:v>9.4180304807166999E-3</c:v>
                </c:pt>
                <c:pt idx="45">
                  <c:v>6.2444562098990901E-3</c:v>
                </c:pt>
                <c:pt idx="46">
                  <c:v>3.973336041927125E-3</c:v>
                </c:pt>
                <c:pt idx="47">
                  <c:v>2.4262866483689381E-3</c:v>
                </c:pt>
                <c:pt idx="48">
                  <c:v>1.4218541796714927E-3</c:v>
                </c:pt>
                <c:pt idx="49">
                  <c:v>7.9963933345311375E-4</c:v>
                </c:pt>
                <c:pt idx="50">
                  <c:v>4.3157807815353075E-4</c:v>
                </c:pt>
              </c:numCache>
            </c:numRef>
          </c:val>
        </c:ser>
        <c:ser>
          <c:idx val="42"/>
          <c:order val="42"/>
          <c:tx>
            <c:strRef>
              <c:f>'Mixture of 2 Gaussian dist.'!$B$192</c:f>
              <c:strCache>
                <c:ptCount val="1"/>
                <c:pt idx="0">
                  <c:v>5.039981489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dist.'!$C$192:$BA$192</c:f>
              <c:numCache>
                <c:formatCode>General</c:formatCode>
                <c:ptCount val="51"/>
                <c:pt idx="0">
                  <c:v>1.7604931385227558E-10</c:v>
                </c:pt>
                <c:pt idx="1">
                  <c:v>3.474839658764339E-10</c:v>
                </c:pt>
                <c:pt idx="2">
                  <c:v>6.697403527610499E-10</c:v>
                </c:pt>
                <c:pt idx="3">
                  <c:v>1.2693835643405378E-9</c:v>
                </c:pt>
                <c:pt idx="4">
                  <c:v>2.3950309111994701E-9</c:v>
                </c:pt>
                <c:pt idx="5">
                  <c:v>4.5856508956086198E-9</c:v>
                </c:pt>
                <c:pt idx="6">
                  <c:v>9.1344078859083085E-9</c:v>
                </c:pt>
                <c:pt idx="7">
                  <c:v>1.9365843125396073E-8</c:v>
                </c:pt>
                <c:pt idx="8">
                  <c:v>4.4052417463132767E-8</c:v>
                </c:pt>
                <c:pt idx="9">
                  <c:v>1.0617706339198684E-7</c:v>
                </c:pt>
                <c:pt idx="10">
                  <c:v>2.6434883695410545E-7</c:v>
                </c:pt>
                <c:pt idx="11">
                  <c:v>6.625201993644587E-7</c:v>
                </c:pt>
                <c:pt idx="12">
                  <c:v>1.6393821583053854E-6</c:v>
                </c:pt>
                <c:pt idx="13">
                  <c:v>3.9560179683865857E-6</c:v>
                </c:pt>
                <c:pt idx="14">
                  <c:v>9.242829519899199E-6</c:v>
                </c:pt>
                <c:pt idx="15">
                  <c:v>2.0824524752235503E-5</c:v>
                </c:pt>
                <c:pt idx="16">
                  <c:v>4.5145530173610812E-5</c:v>
                </c:pt>
                <c:pt idx="17">
                  <c:v>9.4060232739203714E-5</c:v>
                </c:pt>
                <c:pt idx="18">
                  <c:v>1.8822085821034156E-4</c:v>
                </c:pt>
                <c:pt idx="19">
                  <c:v>3.616150463291569E-4</c:v>
                </c:pt>
                <c:pt idx="20">
                  <c:v>6.668959917778876E-4</c:v>
                </c:pt>
                <c:pt idx="21">
                  <c:v>1.1804729761216582E-3</c:v>
                </c:pt>
                <c:pt idx="22">
                  <c:v>2.005461703753382E-3</c:v>
                </c:pt>
                <c:pt idx="23">
                  <c:v>3.2697796866955203E-3</c:v>
                </c:pt>
                <c:pt idx="24">
                  <c:v>5.1163486704640278E-3</c:v>
                </c:pt>
                <c:pt idx="25">
                  <c:v>7.6830660593916154E-3</c:v>
                </c:pt>
                <c:pt idx="26">
                  <c:v>1.1072331087932446E-2</c:v>
                </c:pt>
                <c:pt idx="27">
                  <c:v>1.5313414338637366E-2</c:v>
                </c:pt>
                <c:pt idx="28">
                  <c:v>2.0325093103195906E-2</c:v>
                </c:pt>
                <c:pt idx="29">
                  <c:v>2.5889284113248708E-2</c:v>
                </c:pt>
                <c:pt idx="30">
                  <c:v>3.1647120235284848E-2</c:v>
                </c:pt>
                <c:pt idx="31">
                  <c:v>3.712571369292645E-2</c:v>
                </c:pt>
                <c:pt idx="32">
                  <c:v>4.179667775770611E-2</c:v>
                </c:pt>
                <c:pt idx="33">
                  <c:v>4.5158029003223452E-2</c:v>
                </c:pt>
                <c:pt idx="34">
                  <c:v>4.6822479812873893E-2</c:v>
                </c:pt>
                <c:pt idx="35">
                  <c:v>4.6590785556573526E-2</c:v>
                </c:pt>
                <c:pt idx="36">
                  <c:v>4.4490965049208631E-2</c:v>
                </c:pt>
                <c:pt idx="37">
                  <c:v>4.0772728828526644E-2</c:v>
                </c:pt>
                <c:pt idx="38">
                  <c:v>3.5858645753788221E-2</c:v>
                </c:pt>
                <c:pt idx="39">
                  <c:v>3.0265241005867312E-2</c:v>
                </c:pt>
                <c:pt idx="40">
                  <c:v>2.4514358555221879E-2</c:v>
                </c:pt>
                <c:pt idx="41">
                  <c:v>1.9055619569889475E-2</c:v>
                </c:pt>
                <c:pt idx="42">
                  <c:v>1.4215160091817426E-2</c:v>
                </c:pt>
                <c:pt idx="43">
                  <c:v>1.0176690734928584E-2</c:v>
                </c:pt>
                <c:pt idx="44">
                  <c:v>6.9917765155669545E-3</c:v>
                </c:pt>
                <c:pt idx="45">
                  <c:v>4.6099332699001986E-3</c:v>
                </c:pt>
                <c:pt idx="46">
                  <c:v>2.916942571220243E-3</c:v>
                </c:pt>
                <c:pt idx="47">
                  <c:v>1.7712801579991264E-3</c:v>
                </c:pt>
                <c:pt idx="48">
                  <c:v>1.0322212020024246E-3</c:v>
                </c:pt>
                <c:pt idx="49">
                  <c:v>5.7727723538333528E-4</c:v>
                </c:pt>
                <c:pt idx="50">
                  <c:v>3.0982911512529262E-4</c:v>
                </c:pt>
              </c:numCache>
            </c:numRef>
          </c:val>
        </c:ser>
        <c:ser>
          <c:idx val="43"/>
          <c:order val="43"/>
          <c:tx>
            <c:strRef>
              <c:f>'Mixture of 2 Gaussian dist.'!$B$193</c:f>
              <c:strCache>
                <c:ptCount val="1"/>
                <c:pt idx="0">
                  <c:v>5.231168156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dist.'!$C$193:$BA$193</c:f>
              <c:numCache>
                <c:formatCode>General</c:formatCode>
                <c:ptCount val="51"/>
                <c:pt idx="0">
                  <c:v>6.0249090774563993E-11</c:v>
                </c:pt>
                <c:pt idx="1">
                  <c:v>1.2104119394469655E-10</c:v>
                </c:pt>
                <c:pt idx="2">
                  <c:v>2.4005094169536701E-10</c:v>
                </c:pt>
                <c:pt idx="3">
                  <c:v>4.7696717938556932E-10</c:v>
                </c:pt>
                <c:pt idx="4">
                  <c:v>9.7054921938654938E-10</c:v>
                </c:pt>
                <c:pt idx="5">
                  <c:v>2.075104859129809E-9</c:v>
                </c:pt>
                <c:pt idx="6">
                  <c:v>4.7505914516054685E-9</c:v>
                </c:pt>
                <c:pt idx="7">
                  <c:v>1.1647764555622949E-8</c:v>
                </c:pt>
                <c:pt idx="8">
                  <c:v>3.0007748160671965E-8</c:v>
                </c:pt>
                <c:pt idx="9">
                  <c:v>7.9057982952047648E-8</c:v>
                </c:pt>
                <c:pt idx="10">
                  <c:v>2.0796143135013014E-7</c:v>
                </c:pt>
                <c:pt idx="11">
                  <c:v>5.3717341601186104E-7</c:v>
                </c:pt>
                <c:pt idx="12">
                  <c:v>1.3487370159855766E-6</c:v>
                </c:pt>
                <c:pt idx="13">
                  <c:v>3.2726965165709308E-6</c:v>
                </c:pt>
                <c:pt idx="14">
                  <c:v>7.6500405489898009E-6</c:v>
                </c:pt>
                <c:pt idx="15">
                  <c:v>1.7196819850864572E-5</c:v>
                </c:pt>
                <c:pt idx="16">
                  <c:v>3.7140793958733577E-5</c:v>
                </c:pt>
                <c:pt idx="17">
                  <c:v>7.7028530078941849E-5</c:v>
                </c:pt>
                <c:pt idx="18">
                  <c:v>1.5336587609741188E-4</c:v>
                </c:pt>
                <c:pt idx="19">
                  <c:v>2.9310031730328702E-4</c:v>
                </c:pt>
                <c:pt idx="20">
                  <c:v>5.3762266149308326E-4</c:v>
                </c:pt>
                <c:pt idx="21">
                  <c:v>9.4643783968133288E-4</c:v>
                </c:pt>
                <c:pt idx="22">
                  <c:v>1.5989995752076201E-3</c:v>
                </c:pt>
                <c:pt idx="23">
                  <c:v>2.5926254481232459E-3</c:v>
                </c:pt>
                <c:pt idx="24">
                  <c:v>4.0342484433537988E-3</c:v>
                </c:pt>
                <c:pt idx="25">
                  <c:v>6.0244133705846508E-3</c:v>
                </c:pt>
                <c:pt idx="26">
                  <c:v>8.6336589261400039E-3</c:v>
                </c:pt>
                <c:pt idx="27">
                  <c:v>1.1874142865349442E-2</c:v>
                </c:pt>
                <c:pt idx="28">
                  <c:v>1.5672434723939938E-2</c:v>
                </c:pt>
                <c:pt idx="29">
                  <c:v>1.985167806691257E-2</c:v>
                </c:pt>
                <c:pt idx="30">
                  <c:v>2.41315030365357E-2</c:v>
                </c:pt>
                <c:pt idx="31">
                  <c:v>2.8151258878630375E-2</c:v>
                </c:pt>
                <c:pt idx="32">
                  <c:v>3.1516465563244819E-2</c:v>
                </c:pt>
                <c:pt idx="33">
                  <c:v>3.3861281970014777E-2</c:v>
                </c:pt>
                <c:pt idx="34">
                  <c:v>3.491366692724901E-2</c:v>
                </c:pt>
                <c:pt idx="35">
                  <c:v>3.4547267082976403E-2</c:v>
                </c:pt>
                <c:pt idx="36">
                  <c:v>3.280636300998839E-2</c:v>
                </c:pt>
                <c:pt idx="37">
                  <c:v>2.9897069741516631E-2</c:v>
                </c:pt>
                <c:pt idx="38">
                  <c:v>2.6147207225649772E-2</c:v>
                </c:pt>
                <c:pt idx="39">
                  <c:v>2.194563423481118E-2</c:v>
                </c:pt>
                <c:pt idx="40">
                  <c:v>1.7676533725344869E-2</c:v>
                </c:pt>
                <c:pt idx="41">
                  <c:v>1.3663822652377276E-2</c:v>
                </c:pt>
                <c:pt idx="42">
                  <c:v>1.0136160224005521E-2</c:v>
                </c:pt>
                <c:pt idx="43">
                  <c:v>7.2160719833949498E-3</c:v>
                </c:pt>
                <c:pt idx="44">
                  <c:v>4.9300847609129129E-3</c:v>
                </c:pt>
                <c:pt idx="45">
                  <c:v>3.2324666595036325E-3</c:v>
                </c:pt>
                <c:pt idx="46">
                  <c:v>2.0339480731766287E-3</c:v>
                </c:pt>
                <c:pt idx="47">
                  <c:v>1.2282076749486738E-3</c:v>
                </c:pt>
                <c:pt idx="48">
                  <c:v>7.117539587264219E-4</c:v>
                </c:pt>
                <c:pt idx="49">
                  <c:v>3.9583492908883307E-4</c:v>
                </c:pt>
                <c:pt idx="50">
                  <c:v>2.1126350269149078E-4</c:v>
                </c:pt>
              </c:numCache>
            </c:numRef>
          </c:val>
        </c:ser>
        <c:ser>
          <c:idx val="44"/>
          <c:order val="44"/>
          <c:tx>
            <c:strRef>
              <c:f>'Mixture of 2 Gaussian dist.'!$B$194</c:f>
              <c:strCache>
                <c:ptCount val="1"/>
                <c:pt idx="0">
                  <c:v>5.422354824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dist.'!$C$194:$BA$194</c:f>
              <c:numCache>
                <c:formatCode>General</c:formatCode>
                <c:ptCount val="51"/>
                <c:pt idx="0">
                  <c:v>2.0245969868079935E-11</c:v>
                </c:pt>
                <c:pt idx="1">
                  <c:v>4.209765244541538E-11</c:v>
                </c:pt>
                <c:pt idx="2">
                  <c:v>8.8356873697583903E-11</c:v>
                </c:pt>
                <c:pt idx="3">
                  <c:v>1.9179571192113294E-10</c:v>
                </c:pt>
                <c:pt idx="4">
                  <c:v>4.4145063780504767E-10</c:v>
                </c:pt>
                <c:pt idx="5">
                  <c:v>1.0915613050233242E-9</c:v>
                </c:pt>
                <c:pt idx="6">
                  <c:v>2.8769669807853563E-9</c:v>
                </c:pt>
                <c:pt idx="7">
                  <c:v>7.8912009293078484E-9</c:v>
                </c:pt>
                <c:pt idx="8">
                  <c:v>2.1923052084281188E-8</c:v>
                </c:pt>
                <c:pt idx="9">
                  <c:v>6.0379794538277337E-8</c:v>
                </c:pt>
                <c:pt idx="10">
                  <c:v>1.6256243953912382E-7</c:v>
                </c:pt>
                <c:pt idx="11">
                  <c:v>4.2431693549038891E-7</c:v>
                </c:pt>
                <c:pt idx="12">
                  <c:v>1.0687827246404991E-6</c:v>
                </c:pt>
                <c:pt idx="13">
                  <c:v>2.5913050545663105E-6</c:v>
                </c:pt>
                <c:pt idx="14">
                  <c:v>6.0392542817586802E-6</c:v>
                </c:pt>
                <c:pt idx="15">
                  <c:v>1.351955817179062E-5</c:v>
                </c:pt>
                <c:pt idx="16">
                  <c:v>2.9059078630876252E-5</c:v>
                </c:pt>
                <c:pt idx="17">
                  <c:v>5.9957877485334186E-5</c:v>
                </c:pt>
                <c:pt idx="18">
                  <c:v>1.1874175316055617E-4</c:v>
                </c:pt>
                <c:pt idx="19">
                  <c:v>2.2569632727147403E-4</c:v>
                </c:pt>
                <c:pt idx="20">
                  <c:v>4.1171166106491325E-4</c:v>
                </c:pt>
                <c:pt idx="21">
                  <c:v>7.2077607099942337E-4</c:v>
                </c:pt>
                <c:pt idx="22">
                  <c:v>1.2109909026197627E-3</c:v>
                </c:pt>
                <c:pt idx="23">
                  <c:v>1.9525931149923922E-3</c:v>
                </c:pt>
                <c:pt idx="24">
                  <c:v>3.0214210975296053E-3</c:v>
                </c:pt>
                <c:pt idx="25">
                  <c:v>4.4868173128329494E-3</c:v>
                </c:pt>
                <c:pt idx="26">
                  <c:v>6.394293263285329E-3</c:v>
                </c:pt>
                <c:pt idx="27">
                  <c:v>8.7452735110090662E-3</c:v>
                </c:pt>
                <c:pt idx="28">
                  <c:v>1.147838308119445E-2</c:v>
                </c:pt>
                <c:pt idx="29">
                  <c:v>1.4458204983815094E-2</c:v>
                </c:pt>
                <c:pt idx="30">
                  <c:v>1.747729866337543E-2</c:v>
                </c:pt>
                <c:pt idx="31">
                  <c:v>2.0274981067949512E-2</c:v>
                </c:pt>
                <c:pt idx="32">
                  <c:v>2.257214320073132E-2</c:v>
                </c:pt>
                <c:pt idx="33">
                  <c:v>2.411633498442781E-2</c:v>
                </c:pt>
                <c:pt idx="34">
                  <c:v>2.4727259036725617E-2</c:v>
                </c:pt>
                <c:pt idx="35">
                  <c:v>2.4331383362048452E-2</c:v>
                </c:pt>
                <c:pt idx="36">
                  <c:v>2.2976494635980692E-2</c:v>
                </c:pt>
                <c:pt idx="37">
                  <c:v>2.0822213121470621E-2</c:v>
                </c:pt>
                <c:pt idx="38">
                  <c:v>1.81090698963907E-2</c:v>
                </c:pt>
                <c:pt idx="39">
                  <c:v>1.511442200715352E-2</c:v>
                </c:pt>
                <c:pt idx="40">
                  <c:v>1.2106346034715004E-2</c:v>
                </c:pt>
                <c:pt idx="41">
                  <c:v>9.3059510151520357E-3</c:v>
                </c:pt>
                <c:pt idx="42">
                  <c:v>6.8649057726683027E-3</c:v>
                </c:pt>
                <c:pt idx="43">
                  <c:v>4.8599806257602655E-3</c:v>
                </c:pt>
                <c:pt idx="44">
                  <c:v>3.3018750477591505E-3</c:v>
                </c:pt>
                <c:pt idx="45">
                  <c:v>2.1528455290646597E-3</c:v>
                </c:pt>
                <c:pt idx="46">
                  <c:v>1.3470733468529431E-3</c:v>
                </c:pt>
                <c:pt idx="47">
                  <c:v>8.0890171418603236E-4</c:v>
                </c:pt>
                <c:pt idx="48">
                  <c:v>4.6615077094073473E-4</c:v>
                </c:pt>
                <c:pt idx="49">
                  <c:v>2.5780016823716647E-4</c:v>
                </c:pt>
                <c:pt idx="50">
                  <c:v>1.3682521038386932E-4</c:v>
                </c:pt>
              </c:numCache>
            </c:numRef>
          </c:val>
        </c:ser>
        <c:ser>
          <c:idx val="45"/>
          <c:order val="45"/>
          <c:tx>
            <c:strRef>
              <c:f>'Mixture of 2 Gaussian dist.'!$B$195</c:f>
              <c:strCache>
                <c:ptCount val="1"/>
                <c:pt idx="0">
                  <c:v>5.613541492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dist.'!$C$195:$BA$195</c:f>
              <c:numCache>
                <c:formatCode>General</c:formatCode>
                <c:ptCount val="51"/>
                <c:pt idx="0">
                  <c:v>6.8528005099444763E-12</c:v>
                </c:pt>
                <c:pt idx="1">
                  <c:v>1.5244807938732241E-11</c:v>
                </c:pt>
                <c:pt idx="2">
                  <c:v>3.5430769636046236E-11</c:v>
                </c:pt>
                <c:pt idx="3">
                  <c:v>8.7974117402228644E-11</c:v>
                </c:pt>
                <c:pt idx="4">
                  <c:v>2.3472619035861078E-10</c:v>
                </c:pt>
                <c:pt idx="5">
                  <c:v>6.6277370282706688E-10</c:v>
                </c:pt>
                <c:pt idx="6">
                  <c:v>1.9279604005696443E-9</c:v>
                </c:pt>
                <c:pt idx="7">
                  <c:v>5.6306376586003908E-9</c:v>
                </c:pt>
                <c:pt idx="8">
                  <c:v>1.6203830761984106E-8</c:v>
                </c:pt>
                <c:pt idx="9">
                  <c:v>4.5416770466376144E-8</c:v>
                </c:pt>
                <c:pt idx="10">
                  <c:v>1.2315296801980602E-7</c:v>
                </c:pt>
                <c:pt idx="11">
                  <c:v>3.218834924610208E-7</c:v>
                </c:pt>
                <c:pt idx="12">
                  <c:v>8.0929644691345245E-7</c:v>
                </c:pt>
                <c:pt idx="13">
                  <c:v>1.9552509463157678E-6</c:v>
                </c:pt>
                <c:pt idx="14">
                  <c:v>4.5365951943119284E-6</c:v>
                </c:pt>
                <c:pt idx="15">
                  <c:v>1.0105383704168252E-5</c:v>
                </c:pt>
                <c:pt idx="16">
                  <c:v>2.1607066926337456E-5</c:v>
                </c:pt>
                <c:pt idx="17">
                  <c:v>4.4342254325128262E-5</c:v>
                </c:pt>
                <c:pt idx="18">
                  <c:v>8.7336494555277826E-5</c:v>
                </c:pt>
                <c:pt idx="19">
                  <c:v>1.6508855416274337E-4</c:v>
                </c:pt>
                <c:pt idx="20">
                  <c:v>2.9948436657097782E-4</c:v>
                </c:pt>
                <c:pt idx="21">
                  <c:v>5.2139062206584062E-4</c:v>
                </c:pt>
                <c:pt idx="22">
                  <c:v>8.7112760221363711E-4</c:v>
                </c:pt>
                <c:pt idx="23">
                  <c:v>1.3967814664835711E-3</c:v>
                </c:pt>
                <c:pt idx="24">
                  <c:v>2.1493269355637615E-3</c:v>
                </c:pt>
                <c:pt idx="25">
                  <c:v>3.1739739269053269E-3</c:v>
                </c:pt>
                <c:pt idx="26">
                  <c:v>4.4981175778033861E-3</c:v>
                </c:pt>
                <c:pt idx="27">
                  <c:v>6.1176504470095636E-3</c:v>
                </c:pt>
                <c:pt idx="28">
                  <c:v>7.9848142554499683E-3</c:v>
                </c:pt>
                <c:pt idx="29">
                  <c:v>1.0001640026557474E-2</c:v>
                </c:pt>
                <c:pt idx="30">
                  <c:v>1.2022750238425322E-2</c:v>
                </c:pt>
                <c:pt idx="31">
                  <c:v>1.3869557669983592E-2</c:v>
                </c:pt>
                <c:pt idx="32">
                  <c:v>1.5354920118312451E-2</c:v>
                </c:pt>
                <c:pt idx="33">
                  <c:v>1.6313932756923021E-2</c:v>
                </c:pt>
                <c:pt idx="34">
                  <c:v>1.6633970391128287E-2</c:v>
                </c:pt>
                <c:pt idx="35">
                  <c:v>1.627643642435838E-2</c:v>
                </c:pt>
                <c:pt idx="36">
                  <c:v>1.5284416781379319E-2</c:v>
                </c:pt>
                <c:pt idx="37">
                  <c:v>1.3774142097447973E-2</c:v>
                </c:pt>
                <c:pt idx="38">
                  <c:v>1.1912595271253138E-2</c:v>
                </c:pt>
                <c:pt idx="39">
                  <c:v>9.8872235785433301E-3</c:v>
                </c:pt>
                <c:pt idx="40">
                  <c:v>7.8753245838352921E-3</c:v>
                </c:pt>
                <c:pt idx="41">
                  <c:v>6.0198921280659838E-3</c:v>
                </c:pt>
                <c:pt idx="42">
                  <c:v>4.4160613152589255E-3</c:v>
                </c:pt>
                <c:pt idx="43">
                  <c:v>3.108906202130347E-3</c:v>
                </c:pt>
                <c:pt idx="44">
                  <c:v>2.1004206652947338E-3</c:v>
                </c:pt>
                <c:pt idx="45">
                  <c:v>1.3618556733847121E-3</c:v>
                </c:pt>
                <c:pt idx="46">
                  <c:v>8.4738744449308699E-4</c:v>
                </c:pt>
                <c:pt idx="47">
                  <c:v>5.0601000501908344E-4</c:v>
                </c:pt>
                <c:pt idx="48">
                  <c:v>2.8997617812165171E-4</c:v>
                </c:pt>
                <c:pt idx="49">
                  <c:v>1.5947465735740831E-4</c:v>
                </c:pt>
                <c:pt idx="50">
                  <c:v>8.4168031933704349E-5</c:v>
                </c:pt>
              </c:numCache>
            </c:numRef>
          </c:val>
        </c:ser>
        <c:ser>
          <c:idx val="46"/>
          <c:order val="46"/>
          <c:tx>
            <c:strRef>
              <c:f>'Mixture of 2 Gaussian dist.'!$B$196</c:f>
              <c:strCache>
                <c:ptCount val="1"/>
                <c:pt idx="0">
                  <c:v>5.80472816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dist.'!$C$196:$BA$196</c:f>
              <c:numCache>
                <c:formatCode>General</c:formatCode>
                <c:ptCount val="51"/>
                <c:pt idx="0">
                  <c:v>2.4530041742613093E-12</c:v>
                </c:pt>
                <c:pt idx="1">
                  <c:v>6.1242614499117583E-12</c:v>
                </c:pt>
                <c:pt idx="2">
                  <c:v>1.6421289813675982E-11</c:v>
                </c:pt>
                <c:pt idx="3">
                  <c:v>4.7180437248481391E-11</c:v>
                </c:pt>
                <c:pt idx="4">
                  <c:v>1.4217936589791607E-10</c:v>
                </c:pt>
                <c:pt idx="5">
                  <c:v>4.3702269802308268E-10</c:v>
                </c:pt>
                <c:pt idx="6">
                  <c:v>1.3381608070353962E-9</c:v>
                </c:pt>
                <c:pt idx="7">
                  <c:v>4.0170974716457162E-9</c:v>
                </c:pt>
                <c:pt idx="8">
                  <c:v>1.1710065294666728E-8</c:v>
                </c:pt>
                <c:pt idx="9">
                  <c:v>3.2969350656715551E-8</c:v>
                </c:pt>
                <c:pt idx="10">
                  <c:v>8.9389987458319033E-8</c:v>
                </c:pt>
                <c:pt idx="11">
                  <c:v>2.3302697547484792E-7</c:v>
                </c:pt>
                <c:pt idx="12">
                  <c:v>5.8356855120704224E-7</c:v>
                </c:pt>
                <c:pt idx="13">
                  <c:v>1.4032854271674524E-6</c:v>
                </c:pt>
                <c:pt idx="14">
                  <c:v>3.2393668226431186E-6</c:v>
                </c:pt>
                <c:pt idx="15">
                  <c:v>7.1775287242152369E-6</c:v>
                </c:pt>
                <c:pt idx="16">
                  <c:v>1.5263628411958866E-5</c:v>
                </c:pt>
                <c:pt idx="17">
                  <c:v>3.1152329271425388E-5</c:v>
                </c:pt>
                <c:pt idx="18">
                  <c:v>6.1018706067391963E-5</c:v>
                </c:pt>
                <c:pt idx="19">
                  <c:v>1.1470159258655716E-4</c:v>
                </c:pt>
                <c:pt idx="20">
                  <c:v>2.0692197312674671E-4</c:v>
                </c:pt>
                <c:pt idx="21">
                  <c:v>3.5823878163454884E-4</c:v>
                </c:pt>
                <c:pt idx="22">
                  <c:v>5.9520465540040344E-4</c:v>
                </c:pt>
                <c:pt idx="23">
                  <c:v>9.4904571299495835E-4</c:v>
                </c:pt>
                <c:pt idx="24">
                  <c:v>1.4522275065824279E-3</c:v>
                </c:pt>
                <c:pt idx="25">
                  <c:v>2.1325964136802472E-3</c:v>
                </c:pt>
                <c:pt idx="26">
                  <c:v>3.0054467996410905E-3</c:v>
                </c:pt>
                <c:pt idx="27">
                  <c:v>4.0647672922741237E-3</c:v>
                </c:pt>
                <c:pt idx="28">
                  <c:v>5.2758027753781753E-3</c:v>
                </c:pt>
                <c:pt idx="29">
                  <c:v>6.5715468439739473E-3</c:v>
                </c:pt>
                <c:pt idx="30">
                  <c:v>7.8554819703097641E-3</c:v>
                </c:pt>
                <c:pt idx="31">
                  <c:v>9.0116481001015301E-3</c:v>
                </c:pt>
                <c:pt idx="32">
                  <c:v>9.9211442724525655E-3</c:v>
                </c:pt>
                <c:pt idx="33">
                  <c:v>1.048203133184448E-2</c:v>
                </c:pt>
                <c:pt idx="34">
                  <c:v>1.0628091541334745E-2</c:v>
                </c:pt>
                <c:pt idx="35">
                  <c:v>1.0341683962147602E-2</c:v>
                </c:pt>
                <c:pt idx="36">
                  <c:v>9.6572478664155598E-3</c:v>
                </c:pt>
                <c:pt idx="37">
                  <c:v>8.6544930827545438E-3</c:v>
                </c:pt>
                <c:pt idx="38">
                  <c:v>7.4431373242089486E-3</c:v>
                </c:pt>
                <c:pt idx="39">
                  <c:v>6.1432270600124649E-3</c:v>
                </c:pt>
                <c:pt idx="40">
                  <c:v>4.8659007072462531E-3</c:v>
                </c:pt>
                <c:pt idx="41">
                  <c:v>3.698759182902623E-3</c:v>
                </c:pt>
                <c:pt idx="42">
                  <c:v>2.6982054117359777E-3</c:v>
                </c:pt>
                <c:pt idx="43">
                  <c:v>1.8889484250268584E-3</c:v>
                </c:pt>
                <c:pt idx="44">
                  <c:v>1.2690868095715957E-3</c:v>
                </c:pt>
                <c:pt idx="45">
                  <c:v>8.1825505835182114E-4</c:v>
                </c:pt>
                <c:pt idx="46">
                  <c:v>5.0630498780239138E-4</c:v>
                </c:pt>
                <c:pt idx="47">
                  <c:v>3.0065044528656979E-4</c:v>
                </c:pt>
                <c:pt idx="48">
                  <c:v>1.7133166505801261E-4</c:v>
                </c:pt>
                <c:pt idx="49">
                  <c:v>9.3699992936389291E-5</c:v>
                </c:pt>
                <c:pt idx="50">
                  <c:v>4.9177632736478962E-5</c:v>
                </c:pt>
              </c:numCache>
            </c:numRef>
          </c:val>
        </c:ser>
        <c:ser>
          <c:idx val="47"/>
          <c:order val="47"/>
          <c:tx>
            <c:strRef>
              <c:f>'Mixture of 2 Gaussian dist.'!$B$197</c:f>
              <c:strCache>
                <c:ptCount val="1"/>
                <c:pt idx="0">
                  <c:v>5.995914828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dist.'!$C$197:$BA$197</c:f>
              <c:numCache>
                <c:formatCode>General</c:formatCode>
                <c:ptCount val="51"/>
                <c:pt idx="0">
                  <c:v>9.9110897301914277E-13</c:v>
                </c:pt>
                <c:pt idx="1">
                  <c:v>2.8694071087808016E-12</c:v>
                </c:pt>
                <c:pt idx="2">
                  <c:v>8.8516626599068891E-12</c:v>
                </c:pt>
                <c:pt idx="3">
                  <c:v>2.8358088853360298E-11</c:v>
                </c:pt>
                <c:pt idx="4">
                  <c:v>9.1800098716382601E-11</c:v>
                </c:pt>
                <c:pt idx="5">
                  <c:v>2.9404753972020216E-10</c:v>
                </c:pt>
                <c:pt idx="6">
                  <c:v>9.195526094480036E-10</c:v>
                </c:pt>
                <c:pt idx="7">
                  <c:v>2.7857132221809636E-9</c:v>
                </c:pt>
                <c:pt idx="8">
                  <c:v>8.1399916019226467E-9</c:v>
                </c:pt>
                <c:pt idx="9">
                  <c:v>2.2888908676149362E-8</c:v>
                </c:pt>
                <c:pt idx="10">
                  <c:v>6.1857862816383192E-8</c:v>
                </c:pt>
                <c:pt idx="11">
                  <c:v>1.6056122408579385E-7</c:v>
                </c:pt>
                <c:pt idx="12">
                  <c:v>4.0013304067314337E-7</c:v>
                </c:pt>
                <c:pt idx="13">
                  <c:v>9.5719491668123271E-7</c:v>
                </c:pt>
                <c:pt idx="14">
                  <c:v>2.1977670783825321E-6</c:v>
                </c:pt>
                <c:pt idx="15">
                  <c:v>4.8430882198649689E-6</c:v>
                </c:pt>
                <c:pt idx="16">
                  <c:v>1.0242551150739146E-5</c:v>
                </c:pt>
                <c:pt idx="17">
                  <c:v>2.07888695213017E-5</c:v>
                </c:pt>
                <c:pt idx="18">
                  <c:v>4.0493564356325019E-5</c:v>
                </c:pt>
                <c:pt idx="19">
                  <c:v>7.5695651427036567E-5</c:v>
                </c:pt>
                <c:pt idx="20">
                  <c:v>1.357951141107177E-4</c:v>
                </c:pt>
                <c:pt idx="21">
                  <c:v>2.337893770630065E-4</c:v>
                </c:pt>
                <c:pt idx="22">
                  <c:v>3.8627118082961727E-4</c:v>
                </c:pt>
                <c:pt idx="23">
                  <c:v>6.1247228629963588E-4</c:v>
                </c:pt>
                <c:pt idx="24">
                  <c:v>9.3198086989453336E-4</c:v>
                </c:pt>
                <c:pt idx="25">
                  <c:v>1.3609866532202691E-3</c:v>
                </c:pt>
                <c:pt idx="26">
                  <c:v>1.907335011901778E-3</c:v>
                </c:pt>
                <c:pt idx="27">
                  <c:v>2.5652299500744644E-3</c:v>
                </c:pt>
                <c:pt idx="28">
                  <c:v>3.3109437609685497E-3</c:v>
                </c:pt>
                <c:pt idx="29">
                  <c:v>4.1011293942379706E-3</c:v>
                </c:pt>
                <c:pt idx="30">
                  <c:v>4.8750749367991713E-3</c:v>
                </c:pt>
                <c:pt idx="31">
                  <c:v>5.5614145607643566E-3</c:v>
                </c:pt>
                <c:pt idx="32">
                  <c:v>6.0885712038193669E-3</c:v>
                </c:pt>
                <c:pt idx="33">
                  <c:v>6.3969307967539331E-3</c:v>
                </c:pt>
                <c:pt idx="34">
                  <c:v>6.4499159802852649E-3</c:v>
                </c:pt>
                <c:pt idx="35">
                  <c:v>6.241121004853409E-3</c:v>
                </c:pt>
                <c:pt idx="36">
                  <c:v>5.7955851162249947E-3</c:v>
                </c:pt>
                <c:pt idx="37">
                  <c:v>5.1648547617482521E-3</c:v>
                </c:pt>
                <c:pt idx="38">
                  <c:v>4.4171798021036997E-3</c:v>
                </c:pt>
                <c:pt idx="39">
                  <c:v>3.6254187859599105E-3</c:v>
                </c:pt>
                <c:pt idx="40">
                  <c:v>2.8556003255598436E-3</c:v>
                </c:pt>
                <c:pt idx="41">
                  <c:v>2.1585534320730237E-3</c:v>
                </c:pt>
                <c:pt idx="42">
                  <c:v>1.5658650213322906E-3</c:v>
                </c:pt>
                <c:pt idx="43">
                  <c:v>1.0901141596441051E-3</c:v>
                </c:pt>
                <c:pt idx="44">
                  <c:v>7.2830916865271203E-4</c:v>
                </c:pt>
                <c:pt idx="45">
                  <c:v>4.6696648580099869E-4</c:v>
                </c:pt>
                <c:pt idx="46">
                  <c:v>2.8733053793354398E-4</c:v>
                </c:pt>
                <c:pt idx="47">
                  <c:v>1.696695851695716E-4</c:v>
                </c:pt>
                <c:pt idx="48">
                  <c:v>9.6150677475540923E-5</c:v>
                </c:pt>
                <c:pt idx="49">
                  <c:v>5.2290986810264954E-5</c:v>
                </c:pt>
                <c:pt idx="50">
                  <c:v>2.7291503719598344E-5</c:v>
                </c:pt>
              </c:numCache>
            </c:numRef>
          </c:val>
        </c:ser>
        <c:ser>
          <c:idx val="48"/>
          <c:order val="48"/>
          <c:tx>
            <c:strRef>
              <c:f>'Mixture of 2 Gaussian dist.'!$B$198</c:f>
              <c:strCache>
                <c:ptCount val="1"/>
                <c:pt idx="0">
                  <c:v>6.187101496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dist.'!$C$198:$BA$198</c:f>
              <c:numCache>
                <c:formatCode>General</c:formatCode>
                <c:ptCount val="51"/>
                <c:pt idx="0">
                  <c:v>4.6891327276805894E-13</c:v>
                </c:pt>
                <c:pt idx="1">
                  <c:v>1.5476751082204637E-12</c:v>
                </c:pt>
                <c:pt idx="2">
                  <c:v>5.2513145667683679E-12</c:v>
                </c:pt>
                <c:pt idx="3">
                  <c:v>1.7851540886038874E-11</c:v>
                </c:pt>
                <c:pt idx="4">
                  <c:v>5.970519386445574E-11</c:v>
                </c:pt>
                <c:pt idx="5">
                  <c:v>1.9429067608157152E-10</c:v>
                </c:pt>
                <c:pt idx="6">
                  <c:v>6.1130599453372716E-10</c:v>
                </c:pt>
                <c:pt idx="7">
                  <c:v>1.8532600316204481E-9</c:v>
                </c:pt>
                <c:pt idx="8">
                  <c:v>5.4035621297094376E-9</c:v>
                </c:pt>
                <c:pt idx="9">
                  <c:v>1.5137658677568859E-8</c:v>
                </c:pt>
                <c:pt idx="10">
                  <c:v>4.0723067175479523E-8</c:v>
                </c:pt>
                <c:pt idx="11">
                  <c:v>1.0517209119891103E-7</c:v>
                </c:pt>
                <c:pt idx="12">
                  <c:v>2.6071792886512067E-7</c:v>
                </c:pt>
                <c:pt idx="13">
                  <c:v>6.2031811324165445E-7</c:v>
                </c:pt>
                <c:pt idx="14">
                  <c:v>1.4164807383934321E-6</c:v>
                </c:pt>
                <c:pt idx="15">
                  <c:v>3.1041885598549683E-6</c:v>
                </c:pt>
                <c:pt idx="16">
                  <c:v>6.5286036087293267E-6</c:v>
                </c:pt>
                <c:pt idx="17">
                  <c:v>1.3177215622395694E-5</c:v>
                </c:pt>
                <c:pt idx="18">
                  <c:v>2.5524430892130151E-5</c:v>
                </c:pt>
                <c:pt idx="19">
                  <c:v>4.7447828951536985E-5</c:v>
                </c:pt>
                <c:pt idx="20">
                  <c:v>8.4645482974427298E-5</c:v>
                </c:pt>
                <c:pt idx="21">
                  <c:v>1.4491654901435631E-4</c:v>
                </c:pt>
                <c:pt idx="22">
                  <c:v>2.380996136285167E-4</c:v>
                </c:pt>
                <c:pt idx="23">
                  <c:v>3.7542722577819042E-4</c:v>
                </c:pt>
                <c:pt idx="24">
                  <c:v>5.6809257975812938E-4</c:v>
                </c:pt>
                <c:pt idx="25">
                  <c:v>8.2497102435822342E-4</c:v>
                </c:pt>
                <c:pt idx="26">
                  <c:v>1.1496998284996314E-3</c:v>
                </c:pt>
                <c:pt idx="27">
                  <c:v>1.5376461717931153E-3</c:v>
                </c:pt>
                <c:pt idx="28">
                  <c:v>1.973579006160334E-3</c:v>
                </c:pt>
                <c:pt idx="29">
                  <c:v>2.4309653848952309E-3</c:v>
                </c:pt>
                <c:pt idx="30">
                  <c:v>2.8736189620224631E-3</c:v>
                </c:pt>
                <c:pt idx="31">
                  <c:v>3.2599109084713706E-3</c:v>
                </c:pt>
                <c:pt idx="32">
                  <c:v>3.5490198152612925E-3</c:v>
                </c:pt>
                <c:pt idx="33">
                  <c:v>3.7079789350057692E-3</c:v>
                </c:pt>
                <c:pt idx="34">
                  <c:v>3.7178531576114704E-3</c:v>
                </c:pt>
                <c:pt idx="35">
                  <c:v>3.5774481394676583E-3</c:v>
                </c:pt>
                <c:pt idx="36">
                  <c:v>3.3035478379675942E-3</c:v>
                </c:pt>
                <c:pt idx="37">
                  <c:v>2.9276151948774186E-3</c:v>
                </c:pt>
                <c:pt idx="38">
                  <c:v>2.4898519486681106E-3</c:v>
                </c:pt>
                <c:pt idx="39">
                  <c:v>2.0321660609523948E-3</c:v>
                </c:pt>
                <c:pt idx="40">
                  <c:v>1.5917358679893548E-3</c:v>
                </c:pt>
                <c:pt idx="41">
                  <c:v>1.1964896607955999E-3</c:v>
                </c:pt>
                <c:pt idx="42">
                  <c:v>8.6312368857575244E-4</c:v>
                </c:pt>
                <c:pt idx="43">
                  <c:v>5.9753487870920624E-4</c:v>
                </c:pt>
                <c:pt idx="44">
                  <c:v>3.9699005153820378E-4</c:v>
                </c:pt>
                <c:pt idx="45">
                  <c:v>2.5311747247120948E-4</c:v>
                </c:pt>
                <c:pt idx="46">
                  <c:v>1.548783685386338E-4</c:v>
                </c:pt>
                <c:pt idx="47">
                  <c:v>9.094640649787172E-5</c:v>
                </c:pt>
                <c:pt idx="48">
                  <c:v>5.1251485863634022E-5</c:v>
                </c:pt>
                <c:pt idx="49">
                  <c:v>2.7717465545648959E-5</c:v>
                </c:pt>
                <c:pt idx="50">
                  <c:v>1.4385557934196762E-5</c:v>
                </c:pt>
              </c:numCache>
            </c:numRef>
          </c:val>
        </c:ser>
        <c:ser>
          <c:idx val="49"/>
          <c:order val="49"/>
          <c:tx>
            <c:strRef>
              <c:f>'Mixture of 2 Gaussian dist.'!$B$199</c:f>
              <c:strCache>
                <c:ptCount val="1"/>
                <c:pt idx="0">
                  <c:v>6.378288164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dist.'!$C$199:$BA$199</c:f>
              <c:numCache>
                <c:formatCode>General</c:formatCode>
                <c:ptCount val="51"/>
                <c:pt idx="0">
                  <c:v>2.518003995533227E-13</c:v>
                </c:pt>
                <c:pt idx="1">
                  <c:v>9.0169679308068896E-13</c:v>
                </c:pt>
                <c:pt idx="2">
                  <c:v>3.2109600030114248E-12</c:v>
                </c:pt>
                <c:pt idx="3">
                  <c:v>1.1196228994297393E-11</c:v>
                </c:pt>
                <c:pt idx="4">
                  <c:v>3.7880271573176405E-11</c:v>
                </c:pt>
                <c:pt idx="5">
                  <c:v>1.2372467334010802E-10</c:v>
                </c:pt>
                <c:pt idx="6">
                  <c:v>3.8905332775208024E-10</c:v>
                </c:pt>
                <c:pt idx="7">
                  <c:v>1.1760691265475457E-9</c:v>
                </c:pt>
                <c:pt idx="8">
                  <c:v>3.4149617054593508E-9</c:v>
                </c:pt>
                <c:pt idx="9">
                  <c:v>9.5210480140235256E-9</c:v>
                </c:pt>
                <c:pt idx="10">
                  <c:v>2.5481830033644273E-8</c:v>
                </c:pt>
                <c:pt idx="11">
                  <c:v>6.5459032381622225E-8</c:v>
                </c:pt>
                <c:pt idx="12">
                  <c:v>1.6138833470687865E-7</c:v>
                </c:pt>
                <c:pt idx="13">
                  <c:v>3.8187565560639209E-7</c:v>
                </c:pt>
                <c:pt idx="14">
                  <c:v>8.6718144988574466E-7</c:v>
                </c:pt>
                <c:pt idx="15">
                  <c:v>1.8898661161136301E-6</c:v>
                </c:pt>
                <c:pt idx="16">
                  <c:v>3.9525943502923662E-6</c:v>
                </c:pt>
                <c:pt idx="17">
                  <c:v>7.9334472177968816E-6</c:v>
                </c:pt>
                <c:pt idx="18">
                  <c:v>1.5281611376378842E-5</c:v>
                </c:pt>
                <c:pt idx="19">
                  <c:v>2.824901627011379E-5</c:v>
                </c:pt>
                <c:pt idx="20">
                  <c:v>5.011458528542775E-5</c:v>
                </c:pt>
                <c:pt idx="21">
                  <c:v>8.5320107106745066E-5</c:v>
                </c:pt>
                <c:pt idx="22">
                  <c:v>1.3940070354919116E-4</c:v>
                </c:pt>
                <c:pt idx="23">
                  <c:v>2.1857716631351484E-4</c:v>
                </c:pt>
                <c:pt idx="24">
                  <c:v>3.2890526557173512E-4</c:v>
                </c:pt>
                <c:pt idx="25">
                  <c:v>4.7496657094587256E-4</c:v>
                </c:pt>
                <c:pt idx="26">
                  <c:v>6.5823569369576496E-4</c:v>
                </c:pt>
                <c:pt idx="27">
                  <c:v>8.7543916069967795E-4</c:v>
                </c:pt>
                <c:pt idx="28">
                  <c:v>1.1173691100605011E-3</c:v>
                </c:pt>
                <c:pt idx="29">
                  <c:v>1.3686534554741793E-3</c:v>
                </c:pt>
                <c:pt idx="30">
                  <c:v>1.6088534230889351E-3</c:v>
                </c:pt>
                <c:pt idx="31">
                  <c:v>1.8149539121286959E-3</c:v>
                </c:pt>
                <c:pt idx="32">
                  <c:v>1.9649018628318227E-3</c:v>
                </c:pt>
                <c:pt idx="33">
                  <c:v>2.0414665459902578E-3</c:v>
                </c:pt>
                <c:pt idx="34">
                  <c:v>2.0354939221981232E-3</c:v>
                </c:pt>
                <c:pt idx="35">
                  <c:v>1.9477064014653488E-3</c:v>
                </c:pt>
                <c:pt idx="36">
                  <c:v>1.7885591700645552E-3</c:v>
                </c:pt>
                <c:pt idx="37">
                  <c:v>1.576192554661835E-3</c:v>
                </c:pt>
                <c:pt idx="38">
                  <c:v>1.3330344399624175E-3</c:v>
                </c:pt>
                <c:pt idx="39">
                  <c:v>1.0819311048881502E-3</c:v>
                </c:pt>
                <c:pt idx="40">
                  <c:v>8.4272132156115471E-4</c:v>
                </c:pt>
                <c:pt idx="41">
                  <c:v>6.2993319712792591E-4</c:v>
                </c:pt>
                <c:pt idx="42">
                  <c:v>4.5188835360226044E-4</c:v>
                </c:pt>
                <c:pt idx="43">
                  <c:v>3.1109565075162772E-4</c:v>
                </c:pt>
                <c:pt idx="44">
                  <c:v>2.0553361888847577E-4</c:v>
                </c:pt>
                <c:pt idx="45">
                  <c:v>1.3031605883424385E-4</c:v>
                </c:pt>
                <c:pt idx="46">
                  <c:v>7.929378402933828E-5</c:v>
                </c:pt>
                <c:pt idx="47">
                  <c:v>4.6302718368832862E-5</c:v>
                </c:pt>
                <c:pt idx="48">
                  <c:v>2.5947765960220842E-5</c:v>
                </c:pt>
                <c:pt idx="49">
                  <c:v>1.3954670749273953E-5</c:v>
                </c:pt>
                <c:pt idx="50">
                  <c:v>7.2022029399239258E-6</c:v>
                </c:pt>
              </c:numCache>
            </c:numRef>
          </c:val>
        </c:ser>
        <c:ser>
          <c:idx val="50"/>
          <c:order val="50"/>
          <c:tx>
            <c:strRef>
              <c:f>'Mixture of 2 Gaussian dist.'!$B$200</c:f>
              <c:strCache>
                <c:ptCount val="1"/>
                <c:pt idx="0">
                  <c:v>6.569474832</c:v>
                </c:pt>
              </c:strCache>
            </c:strRef>
          </c:tx>
          <c:cat>
            <c:numRef>
              <c:f>'Mixture of 2 Gaussian dist.'!$C$149:$BA$149</c:f>
              <c:numCache>
                <c:formatCode>General</c:formatCode>
                <c:ptCount val="51"/>
                <c:pt idx="0">
                  <c:v>-3.1588358347956675</c:v>
                </c:pt>
                <c:pt idx="1">
                  <c:v>-2.9646168429217079</c:v>
                </c:pt>
                <c:pt idx="2">
                  <c:v>-2.7703978510477483</c:v>
                </c:pt>
                <c:pt idx="3">
                  <c:v>-2.5761788591737886</c:v>
                </c:pt>
                <c:pt idx="4">
                  <c:v>-2.3819598672998286</c:v>
                </c:pt>
                <c:pt idx="5">
                  <c:v>-2.1877408754258694</c:v>
                </c:pt>
                <c:pt idx="6">
                  <c:v>-1.9935218835519093</c:v>
                </c:pt>
                <c:pt idx="7">
                  <c:v>-1.7993028916779497</c:v>
                </c:pt>
                <c:pt idx="8">
                  <c:v>-1.60508389980399</c:v>
                </c:pt>
                <c:pt idx="9">
                  <c:v>-1.4108649079300304</c:v>
                </c:pt>
                <c:pt idx="10">
                  <c:v>-1.2166459160560708</c:v>
                </c:pt>
                <c:pt idx="11">
                  <c:v>-1.0224269241821111</c:v>
                </c:pt>
                <c:pt idx="12">
                  <c:v>-0.82820793230815104</c:v>
                </c:pt>
                <c:pt idx="13">
                  <c:v>-0.63398894043419141</c:v>
                </c:pt>
                <c:pt idx="14">
                  <c:v>-0.43976994856023177</c:v>
                </c:pt>
                <c:pt idx="15">
                  <c:v>-0.24555095668627214</c:v>
                </c:pt>
                <c:pt idx="16">
                  <c:v>-5.1331964812312503E-2</c:v>
                </c:pt>
                <c:pt idx="17">
                  <c:v>0.14288702706164713</c:v>
                </c:pt>
                <c:pt idx="18">
                  <c:v>0.33710601893560677</c:v>
                </c:pt>
                <c:pt idx="19">
                  <c:v>0.5313250108095664</c:v>
                </c:pt>
                <c:pt idx="20">
                  <c:v>0.72554400268352603</c:v>
                </c:pt>
                <c:pt idx="21">
                  <c:v>0.91976299455748611</c:v>
                </c:pt>
                <c:pt idx="22">
                  <c:v>1.1139819864314453</c:v>
                </c:pt>
                <c:pt idx="23">
                  <c:v>1.3082009783054054</c:v>
                </c:pt>
                <c:pt idx="24">
                  <c:v>1.5024199701793655</c:v>
                </c:pt>
                <c:pt idx="25">
                  <c:v>1.6966389620533247</c:v>
                </c:pt>
                <c:pt idx="26">
                  <c:v>1.8908579539272847</c:v>
                </c:pt>
                <c:pt idx="27">
                  <c:v>2.0850769458012439</c:v>
                </c:pt>
                <c:pt idx="28">
                  <c:v>2.279295937675204</c:v>
                </c:pt>
                <c:pt idx="29">
                  <c:v>2.4735149295491632</c:v>
                </c:pt>
                <c:pt idx="30">
                  <c:v>2.6677339214231233</c:v>
                </c:pt>
                <c:pt idx="31">
                  <c:v>2.8619529132970825</c:v>
                </c:pt>
                <c:pt idx="32">
                  <c:v>3.0561719051710425</c:v>
                </c:pt>
                <c:pt idx="33">
                  <c:v>3.2503908970450026</c:v>
                </c:pt>
                <c:pt idx="34">
                  <c:v>3.4446098889189618</c:v>
                </c:pt>
                <c:pt idx="35">
                  <c:v>3.6388288807929219</c:v>
                </c:pt>
                <c:pt idx="36">
                  <c:v>3.8330478726668811</c:v>
                </c:pt>
                <c:pt idx="37">
                  <c:v>4.0272668645408416</c:v>
                </c:pt>
                <c:pt idx="38">
                  <c:v>4.2214858564147999</c:v>
                </c:pt>
                <c:pt idx="39">
                  <c:v>4.41570484828876</c:v>
                </c:pt>
                <c:pt idx="40">
                  <c:v>4.6099238401627201</c:v>
                </c:pt>
                <c:pt idx="41">
                  <c:v>4.8041428320366801</c:v>
                </c:pt>
                <c:pt idx="42">
                  <c:v>4.9983618239106402</c:v>
                </c:pt>
                <c:pt idx="43">
                  <c:v>5.1925808157846003</c:v>
                </c:pt>
                <c:pt idx="44">
                  <c:v>5.3867998076585586</c:v>
                </c:pt>
                <c:pt idx="45">
                  <c:v>5.5810187995325187</c:v>
                </c:pt>
                <c:pt idx="46">
                  <c:v>5.7752377914064787</c:v>
                </c:pt>
                <c:pt idx="47">
                  <c:v>5.9694567832804388</c:v>
                </c:pt>
                <c:pt idx="48">
                  <c:v>6.1636757751543989</c:v>
                </c:pt>
                <c:pt idx="49">
                  <c:v>6.3578947670283572</c:v>
                </c:pt>
                <c:pt idx="50">
                  <c:v>6.5521137589023173</c:v>
                </c:pt>
              </c:numCache>
            </c:numRef>
          </c:cat>
          <c:val>
            <c:numRef>
              <c:f>'Mixture of 2 Gaussian dist.'!$C$200:$BA$200</c:f>
              <c:numCache>
                <c:formatCode>General</c:formatCode>
                <c:ptCount val="51"/>
                <c:pt idx="0">
                  <c:v>1.4341017150105402E-13</c:v>
                </c:pt>
                <c:pt idx="1">
                  <c:v>5.3385009220025819E-13</c:v>
                </c:pt>
                <c:pt idx="2">
                  <c:v>1.9382969327786459E-12</c:v>
                </c:pt>
                <c:pt idx="3">
                  <c:v>6.8133540251640953E-12</c:v>
                </c:pt>
                <c:pt idx="4">
                  <c:v>2.3092699435585868E-11</c:v>
                </c:pt>
                <c:pt idx="5">
                  <c:v>7.5302988028712286E-11</c:v>
                </c:pt>
                <c:pt idx="6">
                  <c:v>2.3597533796180709E-10</c:v>
                </c:pt>
                <c:pt idx="7">
                  <c:v>7.1017784400616166E-10</c:v>
                </c:pt>
                <c:pt idx="8">
                  <c:v>2.0519575427631991E-9</c:v>
                </c:pt>
                <c:pt idx="9">
                  <c:v>5.691042730523986E-9</c:v>
                </c:pt>
                <c:pt idx="10">
                  <c:v>1.5149377841546129E-8</c:v>
                </c:pt>
                <c:pt idx="11">
                  <c:v>3.8703813465930891E-8</c:v>
                </c:pt>
                <c:pt idx="12">
                  <c:v>9.4897710970661112E-8</c:v>
                </c:pt>
                <c:pt idx="13">
                  <c:v>2.233024458046003E-7</c:v>
                </c:pt>
                <c:pt idx="14">
                  <c:v>5.0426973056187378E-7</c:v>
                </c:pt>
                <c:pt idx="15">
                  <c:v>1.0928528123115591E-6</c:v>
                </c:pt>
                <c:pt idx="16">
                  <c:v>2.2729426150024767E-6</c:v>
                </c:pt>
                <c:pt idx="17">
                  <c:v>4.5367256894010316E-6</c:v>
                </c:pt>
                <c:pt idx="18">
                  <c:v>8.6900719684384293E-6</c:v>
                </c:pt>
                <c:pt idx="19">
                  <c:v>1.5974628387563697E-5</c:v>
                </c:pt>
                <c:pt idx="20">
                  <c:v>2.8181527976615576E-5</c:v>
                </c:pt>
                <c:pt idx="21">
                  <c:v>4.771166760475926E-5</c:v>
                </c:pt>
                <c:pt idx="22">
                  <c:v>7.7519486348772413E-5</c:v>
                </c:pt>
                <c:pt idx="23">
                  <c:v>1.208713499301171E-4</c:v>
                </c:pt>
                <c:pt idx="24">
                  <c:v>1.8086812364832375E-4</c:v>
                </c:pt>
                <c:pt idx="25">
                  <c:v>2.5973283463375229E-4</c:v>
                </c:pt>
                <c:pt idx="26">
                  <c:v>3.5794626124027739E-4</c:v>
                </c:pt>
                <c:pt idx="27">
                  <c:v>4.7340730357048599E-4</c:v>
                </c:pt>
                <c:pt idx="28">
                  <c:v>6.0086681841591276E-4</c:v>
                </c:pt>
                <c:pt idx="29">
                  <c:v>7.3189306513029347E-4</c:v>
                </c:pt>
                <c:pt idx="30">
                  <c:v>8.5554564263227539E-4</c:v>
                </c:pt>
                <c:pt idx="31">
                  <c:v>9.5976492766068568E-4</c:v>
                </c:pt>
                <c:pt idx="32">
                  <c:v>1.033267351839615E-3</c:v>
                </c:pt>
                <c:pt idx="33">
                  <c:v>1.0675461977668922E-3</c:v>
                </c:pt>
                <c:pt idx="34">
                  <c:v>1.0584900696751884E-3</c:v>
                </c:pt>
                <c:pt idx="35">
                  <c:v>1.007193783942569E-3</c:v>
                </c:pt>
                <c:pt idx="36">
                  <c:v>9.1974074064772907E-4</c:v>
                </c:pt>
                <c:pt idx="37">
                  <c:v>8.0601653374303014E-4</c:v>
                </c:pt>
                <c:pt idx="38">
                  <c:v>6.7787343588583931E-4</c:v>
                </c:pt>
                <c:pt idx="39">
                  <c:v>5.4711600399844117E-4</c:v>
                </c:pt>
                <c:pt idx="40">
                  <c:v>4.2377600324627478E-4</c:v>
                </c:pt>
                <c:pt idx="41">
                  <c:v>3.1500644620774854E-4</c:v>
                </c:pt>
                <c:pt idx="42">
                  <c:v>2.2471323924821339E-4</c:v>
                </c:pt>
                <c:pt idx="43">
                  <c:v>1.5383813903236681E-4</c:v>
                </c:pt>
                <c:pt idx="44">
                  <c:v>1.0107075586611439E-4</c:v>
                </c:pt>
                <c:pt idx="45">
                  <c:v>6.3725484798553126E-5</c:v>
                </c:pt>
                <c:pt idx="46">
                  <c:v>3.8559102884560966E-5</c:v>
                </c:pt>
                <c:pt idx="47">
                  <c:v>2.2390656763663826E-5</c:v>
                </c:pt>
                <c:pt idx="48">
                  <c:v>1.2477652384767763E-5</c:v>
                </c:pt>
                <c:pt idx="49">
                  <c:v>6.6730606312428559E-6</c:v>
                </c:pt>
                <c:pt idx="50">
                  <c:v>3.4248645302817235E-6</c:v>
                </c:pt>
              </c:numCache>
            </c:numRef>
          </c:val>
        </c:ser>
        <c:bandFmts/>
        <c:axId val="49777664"/>
        <c:axId val="49787648"/>
        <c:axId val="49785920"/>
      </c:surfaceChart>
      <c:catAx>
        <c:axId val="49777664"/>
        <c:scaling>
          <c:orientation val="minMax"/>
        </c:scaling>
        <c:delete val="0"/>
        <c:axPos val="b"/>
        <c:majorGridlines/>
        <c:numFmt formatCode="#,##0.00" sourceLinked="0"/>
        <c:majorTickMark val="none"/>
        <c:minorTickMark val="none"/>
        <c:tickLblPos val="nextTo"/>
        <c:crossAx val="49787648"/>
        <c:crosses val="autoZero"/>
        <c:auto val="1"/>
        <c:lblAlgn val="ctr"/>
        <c:lblOffset val="100"/>
        <c:noMultiLvlLbl val="0"/>
      </c:catAx>
      <c:valAx>
        <c:axId val="4978764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one"/>
        <c:crossAx val="49777664"/>
        <c:crosses val="autoZero"/>
        <c:crossBetween val="midCat"/>
      </c:valAx>
      <c:serAx>
        <c:axId val="49785920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crossAx val="49787648"/>
        <c:crosses val="autoZero"/>
      </c:ser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Simulated</a:t>
            </a:r>
            <a:r>
              <a:rPr lang="en-US" baseline="0"/>
              <a:t> data with confidence regions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'Simulation data'!$F$20</c:f>
              <c:strCache>
                <c:ptCount val="1"/>
                <c:pt idx="0">
                  <c:v>Class 1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</c:marker>
          <c:xVal>
            <c:numRef>
              <c:f>'Simulation data'!$C$21:$C$422</c:f>
              <c:numCache>
                <c:formatCode>General</c:formatCode>
                <c:ptCount val="402"/>
                <c:pt idx="0">
                  <c:v>-2.1458090045514067</c:v>
                </c:pt>
                <c:pt idx="1">
                  <c:v>3.2321360045660699</c:v>
                </c:pt>
                <c:pt idx="2">
                  <c:v>4.9401718757169304</c:v>
                </c:pt>
                <c:pt idx="3">
                  <c:v>3.8101809249088845</c:v>
                </c:pt>
                <c:pt idx="4">
                  <c:v>-4.9145426282480267E-2</c:v>
                </c:pt>
                <c:pt idx="5">
                  <c:v>-2.5228432546258131E-2</c:v>
                </c:pt>
                <c:pt idx="6">
                  <c:v>-0.29220078622149359</c:v>
                </c:pt>
                <c:pt idx="7">
                  <c:v>0.49613641368855654</c:v>
                </c:pt>
                <c:pt idx="8">
                  <c:v>-0.56473713272988635</c:v>
                </c:pt>
                <c:pt idx="9">
                  <c:v>4.2390780799608194</c:v>
                </c:pt>
                <c:pt idx="10">
                  <c:v>-1.1607911976569065</c:v>
                </c:pt>
                <c:pt idx="11">
                  <c:v>4.3915782617710164</c:v>
                </c:pt>
                <c:pt idx="12">
                  <c:v>-1.6970819022287003</c:v>
                </c:pt>
                <c:pt idx="13">
                  <c:v>-1.1039833758771549</c:v>
                </c:pt>
                <c:pt idx="14">
                  <c:v>3.8594640680730765</c:v>
                </c:pt>
                <c:pt idx="15">
                  <c:v>-1.5888254252359202</c:v>
                </c:pt>
                <c:pt idx="16">
                  <c:v>3.1700254907721344</c:v>
                </c:pt>
                <c:pt idx="17">
                  <c:v>4.5703129876344226</c:v>
                </c:pt>
                <c:pt idx="18">
                  <c:v>3.5076650710607127</c:v>
                </c:pt>
                <c:pt idx="19">
                  <c:v>4.5448847299734689</c:v>
                </c:pt>
                <c:pt idx="20">
                  <c:v>0.62275887877545733</c:v>
                </c:pt>
                <c:pt idx="21">
                  <c:v>-2.8518153123804284</c:v>
                </c:pt>
                <c:pt idx="22">
                  <c:v>3.3959342300941153</c:v>
                </c:pt>
                <c:pt idx="23">
                  <c:v>4.8282492711948386</c:v>
                </c:pt>
                <c:pt idx="24">
                  <c:v>-2.4425088894226077</c:v>
                </c:pt>
                <c:pt idx="25">
                  <c:v>-1.2016605648263705</c:v>
                </c:pt>
                <c:pt idx="26">
                  <c:v>-1.9836222454864094</c:v>
                </c:pt>
                <c:pt idx="27">
                  <c:v>1.6622592288218931</c:v>
                </c:pt>
                <c:pt idx="28">
                  <c:v>3.6762867759521787</c:v>
                </c:pt>
                <c:pt idx="29">
                  <c:v>0.24139067967495381</c:v>
                </c:pt>
                <c:pt idx="30">
                  <c:v>3.6844118986422254</c:v>
                </c:pt>
                <c:pt idx="31">
                  <c:v>4.1239662011296749</c:v>
                </c:pt>
                <c:pt idx="32">
                  <c:v>4.0536739765063983</c:v>
                </c:pt>
                <c:pt idx="33">
                  <c:v>0.39334960106432287</c:v>
                </c:pt>
                <c:pt idx="34">
                  <c:v>-0.15681921393749493</c:v>
                </c:pt>
                <c:pt idx="35">
                  <c:v>3.3177088846235838</c:v>
                </c:pt>
                <c:pt idx="36">
                  <c:v>-1.8021770233629841</c:v>
                </c:pt>
                <c:pt idx="37">
                  <c:v>-3.9052468460126173</c:v>
                </c:pt>
                <c:pt idx="38">
                  <c:v>-1.9755702888926949</c:v>
                </c:pt>
                <c:pt idx="39">
                  <c:v>2.2980267342775349</c:v>
                </c:pt>
                <c:pt idx="40">
                  <c:v>-0.24628108181306216</c:v>
                </c:pt>
                <c:pt idx="41">
                  <c:v>4.8256020158874122</c:v>
                </c:pt>
                <c:pt idx="42">
                  <c:v>2.3485839654435177</c:v>
                </c:pt>
                <c:pt idx="43">
                  <c:v>0.15723997490911548</c:v>
                </c:pt>
                <c:pt idx="44">
                  <c:v>3.4724211971263492</c:v>
                </c:pt>
                <c:pt idx="45">
                  <c:v>1.2562848598038634</c:v>
                </c:pt>
                <c:pt idx="46">
                  <c:v>-0.90484495195411307</c:v>
                </c:pt>
                <c:pt idx="47">
                  <c:v>3.240484936416439</c:v>
                </c:pt>
                <c:pt idx="48">
                  <c:v>-0.31959727481456074</c:v>
                </c:pt>
                <c:pt idx="49">
                  <c:v>4.2799461829071008</c:v>
                </c:pt>
                <c:pt idx="50">
                  <c:v>-1.1384909306303921</c:v>
                </c:pt>
                <c:pt idx="51">
                  <c:v>1.0213065931182101</c:v>
                </c:pt>
                <c:pt idx="52">
                  <c:v>3.9301409054848109</c:v>
                </c:pt>
                <c:pt idx="53">
                  <c:v>4.9510889912519138</c:v>
                </c:pt>
                <c:pt idx="54">
                  <c:v>-0.36732403248139234</c:v>
                </c:pt>
                <c:pt idx="55">
                  <c:v>0.4457258867229475</c:v>
                </c:pt>
                <c:pt idx="56">
                  <c:v>-0.55964932491555897</c:v>
                </c:pt>
                <c:pt idx="57">
                  <c:v>-1.0201682172990389</c:v>
                </c:pt>
                <c:pt idx="58">
                  <c:v>3.5100407190048366</c:v>
                </c:pt>
                <c:pt idx="59">
                  <c:v>1.3614527248869044</c:v>
                </c:pt>
                <c:pt idx="60">
                  <c:v>-0.59891529283364242</c:v>
                </c:pt>
                <c:pt idx="61">
                  <c:v>5.9120690826819189</c:v>
                </c:pt>
                <c:pt idx="62">
                  <c:v>0.22127109717878579</c:v>
                </c:pt>
                <c:pt idx="63">
                  <c:v>4.1715147059341415</c:v>
                </c:pt>
                <c:pt idx="64">
                  <c:v>3.3106107239140123</c:v>
                </c:pt>
                <c:pt idx="65">
                  <c:v>-0.28871106262617879</c:v>
                </c:pt>
                <c:pt idx="66">
                  <c:v>-2.1343432574844834</c:v>
                </c:pt>
                <c:pt idx="67">
                  <c:v>0.14201055694206449</c:v>
                </c:pt>
                <c:pt idx="68">
                  <c:v>0.37144709870516529</c:v>
                </c:pt>
                <c:pt idx="69">
                  <c:v>-0.44318579492173782</c:v>
                </c:pt>
                <c:pt idx="70">
                  <c:v>4.8876143904644413</c:v>
                </c:pt>
                <c:pt idx="71">
                  <c:v>4.1713064890596883</c:v>
                </c:pt>
                <c:pt idx="72">
                  <c:v>3.0814492820305137</c:v>
                </c:pt>
                <c:pt idx="73">
                  <c:v>-0.57042673204354366</c:v>
                </c:pt>
                <c:pt idx="74">
                  <c:v>-0.88886142354828301</c:v>
                </c:pt>
                <c:pt idx="75">
                  <c:v>-1.1555559473347294</c:v>
                </c:pt>
                <c:pt idx="76">
                  <c:v>4.2349234216038658</c:v>
                </c:pt>
                <c:pt idx="77">
                  <c:v>3.7197040972061362</c:v>
                </c:pt>
                <c:pt idx="78">
                  <c:v>1.4042502280079001</c:v>
                </c:pt>
                <c:pt idx="79">
                  <c:v>2.7793878146401294</c:v>
                </c:pt>
                <c:pt idx="80">
                  <c:v>-1.7063278638967669</c:v>
                </c:pt>
                <c:pt idx="81">
                  <c:v>1.3727385994968342</c:v>
                </c:pt>
                <c:pt idx="82">
                  <c:v>1.758473762463588</c:v>
                </c:pt>
                <c:pt idx="83">
                  <c:v>0.29467755939836388</c:v>
                </c:pt>
                <c:pt idx="84">
                  <c:v>-1.9357674185352813</c:v>
                </c:pt>
                <c:pt idx="85">
                  <c:v>0.62762516282825753</c:v>
                </c:pt>
                <c:pt idx="86">
                  <c:v>2.4107909336845004</c:v>
                </c:pt>
                <c:pt idx="87">
                  <c:v>3.5939313760496394</c:v>
                </c:pt>
                <c:pt idx="88">
                  <c:v>3.5471281872592058</c:v>
                </c:pt>
                <c:pt idx="89">
                  <c:v>3.048304391571047</c:v>
                </c:pt>
                <c:pt idx="90">
                  <c:v>-1.0544062572955941</c:v>
                </c:pt>
                <c:pt idx="91">
                  <c:v>2.7592062241121851</c:v>
                </c:pt>
                <c:pt idx="92">
                  <c:v>1.2754170863365852</c:v>
                </c:pt>
                <c:pt idx="93">
                  <c:v>2.9040260787492445</c:v>
                </c:pt>
                <c:pt idx="94">
                  <c:v>3.3948529629583954</c:v>
                </c:pt>
                <c:pt idx="95">
                  <c:v>-3.3431318151230993</c:v>
                </c:pt>
                <c:pt idx="96">
                  <c:v>4.2727774298961796</c:v>
                </c:pt>
                <c:pt idx="97">
                  <c:v>1.3541180519689362</c:v>
                </c:pt>
                <c:pt idx="98">
                  <c:v>0.30019533497747464</c:v>
                </c:pt>
                <c:pt idx="99">
                  <c:v>1.1257274804080926</c:v>
                </c:pt>
                <c:pt idx="100">
                  <c:v>2.9781660832863306</c:v>
                </c:pt>
                <c:pt idx="101">
                  <c:v>1.5839415843550908</c:v>
                </c:pt>
                <c:pt idx="102">
                  <c:v>3.8674815740734392</c:v>
                </c:pt>
                <c:pt idx="103">
                  <c:v>1.4362511649543541</c:v>
                </c:pt>
                <c:pt idx="104">
                  <c:v>4.3096387552989333</c:v>
                </c:pt>
                <c:pt idx="105">
                  <c:v>2.8125875373755322</c:v>
                </c:pt>
                <c:pt idx="106">
                  <c:v>-0.61706221073473144</c:v>
                </c:pt>
                <c:pt idx="107">
                  <c:v>1.04791529005682</c:v>
                </c:pt>
                <c:pt idx="108">
                  <c:v>4.0884507933670537</c:v>
                </c:pt>
                <c:pt idx="109">
                  <c:v>-8.5189723514257507E-2</c:v>
                </c:pt>
                <c:pt idx="110">
                  <c:v>1.3800556151792684</c:v>
                </c:pt>
                <c:pt idx="111">
                  <c:v>-0.7806217036401889</c:v>
                </c:pt>
                <c:pt idx="112">
                  <c:v>-0.82405539923198701</c:v>
                </c:pt>
                <c:pt idx="113">
                  <c:v>-6.4358388760818189E-2</c:v>
                </c:pt>
                <c:pt idx="114">
                  <c:v>5.0239082121696512</c:v>
                </c:pt>
                <c:pt idx="115">
                  <c:v>5.5109696315173951</c:v>
                </c:pt>
                <c:pt idx="116">
                  <c:v>4.0711792825538788</c:v>
                </c:pt>
                <c:pt idx="117">
                  <c:v>-0.97636964584698305</c:v>
                </c:pt>
                <c:pt idx="118">
                  <c:v>2.446753725302909</c:v>
                </c:pt>
                <c:pt idx="119">
                  <c:v>-0.65213511293938364</c:v>
                </c:pt>
                <c:pt idx="120">
                  <c:v>4.4514112231459633</c:v>
                </c:pt>
                <c:pt idx="121">
                  <c:v>1.6512116879707235</c:v>
                </c:pt>
                <c:pt idx="122">
                  <c:v>0.98982188847871233</c:v>
                </c:pt>
                <c:pt idx="123">
                  <c:v>-2.1385232596249035</c:v>
                </c:pt>
                <c:pt idx="124">
                  <c:v>-1.5123586383448058</c:v>
                </c:pt>
                <c:pt idx="125">
                  <c:v>0.54798959132812064</c:v>
                </c:pt>
                <c:pt idx="126">
                  <c:v>5.3473583347029621</c:v>
                </c:pt>
                <c:pt idx="127">
                  <c:v>3.1309233105640586</c:v>
                </c:pt>
                <c:pt idx="128">
                  <c:v>-1.7585082687241269</c:v>
                </c:pt>
                <c:pt idx="129">
                  <c:v>3.9006194077118446</c:v>
                </c:pt>
                <c:pt idx="130">
                  <c:v>-0.93306800953930202</c:v>
                </c:pt>
                <c:pt idx="131">
                  <c:v>3.4748913301073623</c:v>
                </c:pt>
                <c:pt idx="132">
                  <c:v>1.499437658775314</c:v>
                </c:pt>
                <c:pt idx="133">
                  <c:v>3.3858874431885755</c:v>
                </c:pt>
                <c:pt idx="134">
                  <c:v>0.2686258594459438</c:v>
                </c:pt>
                <c:pt idx="135">
                  <c:v>0.35178038030853365</c:v>
                </c:pt>
                <c:pt idx="136">
                  <c:v>-2.5271803778105908</c:v>
                </c:pt>
                <c:pt idx="137">
                  <c:v>4.4240986294774434</c:v>
                </c:pt>
                <c:pt idx="138">
                  <c:v>1.626476483469119</c:v>
                </c:pt>
                <c:pt idx="139">
                  <c:v>3.0358206715476266</c:v>
                </c:pt>
                <c:pt idx="140">
                  <c:v>-1.039801598174301</c:v>
                </c:pt>
                <c:pt idx="141">
                  <c:v>5.184696646153685</c:v>
                </c:pt>
                <c:pt idx="142">
                  <c:v>-1.4227686609126553</c:v>
                </c:pt>
                <c:pt idx="143">
                  <c:v>1.2726720332626791</c:v>
                </c:pt>
                <c:pt idx="144">
                  <c:v>0.89524184637730964</c:v>
                </c:pt>
                <c:pt idx="145">
                  <c:v>1.3491766134171987</c:v>
                </c:pt>
                <c:pt idx="146">
                  <c:v>3.9969401383482484</c:v>
                </c:pt>
                <c:pt idx="147">
                  <c:v>-0.19036128473463695</c:v>
                </c:pt>
                <c:pt idx="148">
                  <c:v>-1.1908448769734779</c:v>
                </c:pt>
                <c:pt idx="149">
                  <c:v>0.26486477699869787</c:v>
                </c:pt>
                <c:pt idx="150">
                  <c:v>-0.55114575611707295</c:v>
                </c:pt>
                <c:pt idx="151">
                  <c:v>-0.8132106978662218</c:v>
                </c:pt>
                <c:pt idx="152">
                  <c:v>-3.4113754790240498</c:v>
                </c:pt>
                <c:pt idx="153">
                  <c:v>-0.14786049877928853</c:v>
                </c:pt>
                <c:pt idx="154">
                  <c:v>0.55237655676625463</c:v>
                </c:pt>
                <c:pt idx="155">
                  <c:v>-0.40933241592877573</c:v>
                </c:pt>
                <c:pt idx="156">
                  <c:v>5.0581191690641427</c:v>
                </c:pt>
                <c:pt idx="157">
                  <c:v>-2.0779330821545012</c:v>
                </c:pt>
                <c:pt idx="158">
                  <c:v>0.88052800774633377</c:v>
                </c:pt>
                <c:pt idx="159">
                  <c:v>0.25096725719237473</c:v>
                </c:pt>
                <c:pt idx="160">
                  <c:v>6.0998987977947321</c:v>
                </c:pt>
                <c:pt idx="161">
                  <c:v>3.6442627618032009</c:v>
                </c:pt>
                <c:pt idx="162">
                  <c:v>-1.6457112825412648</c:v>
                </c:pt>
                <c:pt idx="163">
                  <c:v>-0.72208935268278074</c:v>
                </c:pt>
                <c:pt idx="164">
                  <c:v>2.4097655360135026</c:v>
                </c:pt>
                <c:pt idx="165">
                  <c:v>-0.13819448347534585</c:v>
                </c:pt>
                <c:pt idx="166">
                  <c:v>4.9849480793379248</c:v>
                </c:pt>
                <c:pt idx="167">
                  <c:v>4.8231348214247856</c:v>
                </c:pt>
                <c:pt idx="168">
                  <c:v>3.4587583253804963</c:v>
                </c:pt>
                <c:pt idx="169">
                  <c:v>5.2376528621301182</c:v>
                </c:pt>
                <c:pt idx="170">
                  <c:v>3.981840808483073</c:v>
                </c:pt>
                <c:pt idx="171">
                  <c:v>-0.83636412453965803</c:v>
                </c:pt>
                <c:pt idx="172">
                  <c:v>1.6651843358151586</c:v>
                </c:pt>
                <c:pt idx="173">
                  <c:v>0.87443233027117473</c:v>
                </c:pt>
                <c:pt idx="174">
                  <c:v>0.32201681597002724</c:v>
                </c:pt>
                <c:pt idx="175">
                  <c:v>3.4875269821201327</c:v>
                </c:pt>
                <c:pt idx="176">
                  <c:v>-0.5310553124266727</c:v>
                </c:pt>
                <c:pt idx="177">
                  <c:v>3.9170068069759458</c:v>
                </c:pt>
                <c:pt idx="178">
                  <c:v>4.5465221501864779</c:v>
                </c:pt>
                <c:pt idx="179">
                  <c:v>4.7918578014275548</c:v>
                </c:pt>
                <c:pt idx="180">
                  <c:v>1.0139034380323941</c:v>
                </c:pt>
                <c:pt idx="181">
                  <c:v>3.3272773916119922</c:v>
                </c:pt>
                <c:pt idx="182">
                  <c:v>-0.11277154017269274</c:v>
                </c:pt>
                <c:pt idx="183">
                  <c:v>4.5145111241462796</c:v>
                </c:pt>
                <c:pt idx="184">
                  <c:v>4.7975347867094147</c:v>
                </c:pt>
                <c:pt idx="185">
                  <c:v>0.58655011178910677</c:v>
                </c:pt>
                <c:pt idx="186">
                  <c:v>-2.1522638792174011</c:v>
                </c:pt>
                <c:pt idx="187">
                  <c:v>-1.7596854006777518</c:v>
                </c:pt>
                <c:pt idx="188">
                  <c:v>2.7894285111181136</c:v>
                </c:pt>
                <c:pt idx="189">
                  <c:v>-2.9993657722153437</c:v>
                </c:pt>
                <c:pt idx="190">
                  <c:v>-0.76307276941717617</c:v>
                </c:pt>
                <c:pt idx="191">
                  <c:v>-1.7386131436974006</c:v>
                </c:pt>
                <c:pt idx="192">
                  <c:v>4.1289946796011883</c:v>
                </c:pt>
                <c:pt idx="193">
                  <c:v>0.84246741127641256</c:v>
                </c:pt>
                <c:pt idx="194">
                  <c:v>1.6278445600284628</c:v>
                </c:pt>
                <c:pt idx="195">
                  <c:v>1.8052475720999275</c:v>
                </c:pt>
                <c:pt idx="196">
                  <c:v>2.288312007809215</c:v>
                </c:pt>
                <c:pt idx="197">
                  <c:v>-0.32776001250539349</c:v>
                </c:pt>
                <c:pt idx="198">
                  <c:v>-0.11496757297565079</c:v>
                </c:pt>
                <c:pt idx="199">
                  <c:v>-1.7516671348184694</c:v>
                </c:pt>
                <c:pt idx="200">
                  <c:v>-1.0684217423101203</c:v>
                </c:pt>
                <c:pt idx="201">
                  <c:v>4.1675166961522496</c:v>
                </c:pt>
                <c:pt idx="202">
                  <c:v>0.85712401335151422</c:v>
                </c:pt>
                <c:pt idx="203">
                  <c:v>3.9037424887153902</c:v>
                </c:pt>
                <c:pt idx="204">
                  <c:v>1.4464757489049129</c:v>
                </c:pt>
                <c:pt idx="205">
                  <c:v>0.5380811640737091</c:v>
                </c:pt>
                <c:pt idx="206">
                  <c:v>0.50902947081818939</c:v>
                </c:pt>
                <c:pt idx="207">
                  <c:v>3.977009860413057</c:v>
                </c:pt>
                <c:pt idx="208">
                  <c:v>2.0817972089729606</c:v>
                </c:pt>
                <c:pt idx="209">
                  <c:v>-2.1609531679952894</c:v>
                </c:pt>
                <c:pt idx="210">
                  <c:v>4.3702712511337918</c:v>
                </c:pt>
                <c:pt idx="211">
                  <c:v>-0.41050352320463801</c:v>
                </c:pt>
                <c:pt idx="212">
                  <c:v>-6.2618266178431109E-2</c:v>
                </c:pt>
                <c:pt idx="213">
                  <c:v>0.17055775205909454</c:v>
                </c:pt>
                <c:pt idx="214">
                  <c:v>4.5383816839770184</c:v>
                </c:pt>
                <c:pt idx="215">
                  <c:v>4.4589369634863525</c:v>
                </c:pt>
                <c:pt idx="216">
                  <c:v>3.0033007163026428</c:v>
                </c:pt>
                <c:pt idx="217">
                  <c:v>-2.7989657496382931</c:v>
                </c:pt>
                <c:pt idx="218">
                  <c:v>1.5410409685679289E-2</c:v>
                </c:pt>
                <c:pt idx="219">
                  <c:v>2.5147347693945865</c:v>
                </c:pt>
                <c:pt idx="220">
                  <c:v>3.4621434231754362</c:v>
                </c:pt>
                <c:pt idx="221">
                  <c:v>-0.74486570444635003</c:v>
                </c:pt>
                <c:pt idx="222">
                  <c:v>-2.9725137044829695</c:v>
                </c:pt>
                <c:pt idx="223">
                  <c:v>0.9774695388222977</c:v>
                </c:pt>
                <c:pt idx="224">
                  <c:v>3.724467613899745</c:v>
                </c:pt>
                <c:pt idx="225">
                  <c:v>3.0102851023385737</c:v>
                </c:pt>
                <c:pt idx="226">
                  <c:v>-7.5859515060672456E-2</c:v>
                </c:pt>
                <c:pt idx="227">
                  <c:v>3.7814952237381476</c:v>
                </c:pt>
                <c:pt idx="228">
                  <c:v>1.9405189585381177</c:v>
                </c:pt>
                <c:pt idx="229">
                  <c:v>-2.0338773306604985</c:v>
                </c:pt>
                <c:pt idx="230">
                  <c:v>-0.78101516821743877</c:v>
                </c:pt>
                <c:pt idx="231">
                  <c:v>3.9216349477641197</c:v>
                </c:pt>
                <c:pt idx="232">
                  <c:v>0.33204188270264484</c:v>
                </c:pt>
                <c:pt idx="233">
                  <c:v>-0.34524879174840428</c:v>
                </c:pt>
                <c:pt idx="234">
                  <c:v>4.42327118088979</c:v>
                </c:pt>
                <c:pt idx="235">
                  <c:v>-1.2732597089994684</c:v>
                </c:pt>
                <c:pt idx="236">
                  <c:v>0.8844860001229764</c:v>
                </c:pt>
                <c:pt idx="237">
                  <c:v>-1.4683558503922682</c:v>
                </c:pt>
                <c:pt idx="238">
                  <c:v>-0.34032092828903077</c:v>
                </c:pt>
                <c:pt idx="239">
                  <c:v>-2.3522224014457014</c:v>
                </c:pt>
                <c:pt idx="240">
                  <c:v>3.8673859093733296</c:v>
                </c:pt>
                <c:pt idx="241">
                  <c:v>2.849238927088138</c:v>
                </c:pt>
                <c:pt idx="242">
                  <c:v>1.8960232341435108</c:v>
                </c:pt>
                <c:pt idx="243">
                  <c:v>-0.97306885368273188</c:v>
                </c:pt>
                <c:pt idx="244">
                  <c:v>3.7837584559240272</c:v>
                </c:pt>
                <c:pt idx="245">
                  <c:v>-1.9650333445703696</c:v>
                </c:pt>
                <c:pt idx="246">
                  <c:v>0.47569195451308516</c:v>
                </c:pt>
                <c:pt idx="247">
                  <c:v>0.45808642542676659</c:v>
                </c:pt>
                <c:pt idx="248">
                  <c:v>-1.3188044339446638</c:v>
                </c:pt>
                <c:pt idx="249">
                  <c:v>3.0932403601006069</c:v>
                </c:pt>
                <c:pt idx="250">
                  <c:v>3.5447496577076083</c:v>
                </c:pt>
                <c:pt idx="251">
                  <c:v>1.3969072789912724</c:v>
                </c:pt>
                <c:pt idx="252">
                  <c:v>8.4981925039228093E-2</c:v>
                </c:pt>
                <c:pt idx="253">
                  <c:v>-1.0757640103834063</c:v>
                </c:pt>
                <c:pt idx="254">
                  <c:v>2.3477059842388925</c:v>
                </c:pt>
                <c:pt idx="255">
                  <c:v>-0.94749218989137152</c:v>
                </c:pt>
                <c:pt idx="256">
                  <c:v>-1.700717195856366</c:v>
                </c:pt>
                <c:pt idx="257">
                  <c:v>2.5132944957930667</c:v>
                </c:pt>
                <c:pt idx="258">
                  <c:v>-9.3572702893365958E-2</c:v>
                </c:pt>
                <c:pt idx="259">
                  <c:v>2.8292502336144132</c:v>
                </c:pt>
                <c:pt idx="260">
                  <c:v>-0.54072638466616718</c:v>
                </c:pt>
                <c:pt idx="261">
                  <c:v>4.4061278782140247</c:v>
                </c:pt>
                <c:pt idx="262">
                  <c:v>-1.7167646852384453</c:v>
                </c:pt>
                <c:pt idx="263">
                  <c:v>-1.431643816514331</c:v>
                </c:pt>
                <c:pt idx="264">
                  <c:v>2.068137222276019</c:v>
                </c:pt>
                <c:pt idx="265">
                  <c:v>0.20072063837898915</c:v>
                </c:pt>
                <c:pt idx="266">
                  <c:v>0.16511906721308889</c:v>
                </c:pt>
                <c:pt idx="267">
                  <c:v>0.56780558761981503</c:v>
                </c:pt>
                <c:pt idx="268">
                  <c:v>0.29575920359097557</c:v>
                </c:pt>
                <c:pt idx="269">
                  <c:v>-4.0865190763035146</c:v>
                </c:pt>
                <c:pt idx="270">
                  <c:v>0.62610708089233547</c:v>
                </c:pt>
                <c:pt idx="271">
                  <c:v>3.9197647860031193</c:v>
                </c:pt>
                <c:pt idx="272">
                  <c:v>6.1771517424476832</c:v>
                </c:pt>
                <c:pt idx="273">
                  <c:v>1.9662948141294796</c:v>
                </c:pt>
                <c:pt idx="274">
                  <c:v>-4.1865763696262374E-2</c:v>
                </c:pt>
                <c:pt idx="275">
                  <c:v>2.8487322985513321</c:v>
                </c:pt>
                <c:pt idx="276">
                  <c:v>3.714549393985402</c:v>
                </c:pt>
                <c:pt idx="277">
                  <c:v>-4.4583196547013095</c:v>
                </c:pt>
                <c:pt idx="278">
                  <c:v>4.5099980458164044</c:v>
                </c:pt>
                <c:pt idx="279">
                  <c:v>0.14197339601296494</c:v>
                </c:pt>
                <c:pt idx="280">
                  <c:v>1.5850095013623631</c:v>
                </c:pt>
                <c:pt idx="281">
                  <c:v>0.12955206210796763</c:v>
                </c:pt>
                <c:pt idx="282">
                  <c:v>1.3468381718972386</c:v>
                </c:pt>
                <c:pt idx="283">
                  <c:v>0.98074853900273284</c:v>
                </c:pt>
                <c:pt idx="284">
                  <c:v>0.87935340367172454</c:v>
                </c:pt>
                <c:pt idx="285">
                  <c:v>-0.99466471214221697</c:v>
                </c:pt>
                <c:pt idx="286">
                  <c:v>7.2229488726201371E-2</c:v>
                </c:pt>
                <c:pt idx="287">
                  <c:v>-0.67301561661501041</c:v>
                </c:pt>
                <c:pt idx="288">
                  <c:v>-0.88820528715102087</c:v>
                </c:pt>
                <c:pt idx="289">
                  <c:v>0.61707043394869954</c:v>
                </c:pt>
                <c:pt idx="290">
                  <c:v>4.1151210647659759</c:v>
                </c:pt>
                <c:pt idx="291">
                  <c:v>4.5148329184851672</c:v>
                </c:pt>
                <c:pt idx="292">
                  <c:v>4.7556817865377186</c:v>
                </c:pt>
                <c:pt idx="293">
                  <c:v>3.5111965572497081</c:v>
                </c:pt>
                <c:pt idx="294">
                  <c:v>-0.80244018513936421</c:v>
                </c:pt>
                <c:pt idx="295">
                  <c:v>5.0893899042093977</c:v>
                </c:pt>
                <c:pt idx="296">
                  <c:v>3.6872643588042484</c:v>
                </c:pt>
                <c:pt idx="297">
                  <c:v>2.8744647716637548</c:v>
                </c:pt>
                <c:pt idx="298">
                  <c:v>2.6981314604052349</c:v>
                </c:pt>
                <c:pt idx="299">
                  <c:v>1.2168058347753661</c:v>
                </c:pt>
                <c:pt idx="300">
                  <c:v>-3.4616367652045708</c:v>
                </c:pt>
                <c:pt idx="301">
                  <c:v>-3.323171294596388</c:v>
                </c:pt>
                <c:pt idx="302">
                  <c:v>-3.1847058239882049</c:v>
                </c:pt>
                <c:pt idx="303">
                  <c:v>-3.0462403533800222</c:v>
                </c:pt>
                <c:pt idx="304">
                  <c:v>-2.9077748827718395</c:v>
                </c:pt>
                <c:pt idx="305">
                  <c:v>-2.7693094121636568</c:v>
                </c:pt>
                <c:pt idx="306">
                  <c:v>-2.6308439415554736</c:v>
                </c:pt>
                <c:pt idx="307">
                  <c:v>-2.4923784709472909</c:v>
                </c:pt>
                <c:pt idx="308">
                  <c:v>-2.3539130003391082</c:v>
                </c:pt>
                <c:pt idx="309">
                  <c:v>-2.2154475297309251</c:v>
                </c:pt>
                <c:pt idx="310">
                  <c:v>-2.0769820591227424</c:v>
                </c:pt>
                <c:pt idx="311">
                  <c:v>-1.9385165885145597</c:v>
                </c:pt>
                <c:pt idx="312">
                  <c:v>-1.8000511179063767</c:v>
                </c:pt>
                <c:pt idx="313">
                  <c:v>-1.661585647298194</c:v>
                </c:pt>
                <c:pt idx="314">
                  <c:v>-1.5231201766900111</c:v>
                </c:pt>
                <c:pt idx="315">
                  <c:v>-1.3846547060818284</c:v>
                </c:pt>
                <c:pt idx="316">
                  <c:v>-1.2461892354736457</c:v>
                </c:pt>
                <c:pt idx="317">
                  <c:v>-1.1077237648654625</c:v>
                </c:pt>
                <c:pt idx="318">
                  <c:v>-0.96925829425727983</c:v>
                </c:pt>
                <c:pt idx="319">
                  <c:v>-0.83079282364909668</c:v>
                </c:pt>
                <c:pt idx="320">
                  <c:v>-0.69232735304091397</c:v>
                </c:pt>
                <c:pt idx="321">
                  <c:v>-0.55386188243273171</c:v>
                </c:pt>
                <c:pt idx="322">
                  <c:v>-0.41539641182454856</c:v>
                </c:pt>
                <c:pt idx="323">
                  <c:v>-0.27693094121636586</c:v>
                </c:pt>
                <c:pt idx="324">
                  <c:v>-0.13846547060818271</c:v>
                </c:pt>
                <c:pt idx="325">
                  <c:v>0</c:v>
                </c:pt>
                <c:pt idx="326">
                  <c:v>0.13846547060818271</c:v>
                </c:pt>
                <c:pt idx="327">
                  <c:v>0.27693094121636541</c:v>
                </c:pt>
                <c:pt idx="328">
                  <c:v>0.41539641182454856</c:v>
                </c:pt>
                <c:pt idx="329">
                  <c:v>0.55386188243273127</c:v>
                </c:pt>
                <c:pt idx="330">
                  <c:v>0.69232735304091397</c:v>
                </c:pt>
                <c:pt idx="331">
                  <c:v>0.83079282364909668</c:v>
                </c:pt>
                <c:pt idx="332">
                  <c:v>0.96925829425727938</c:v>
                </c:pt>
                <c:pt idx="333">
                  <c:v>1.107723764865463</c:v>
                </c:pt>
                <c:pt idx="334">
                  <c:v>1.2461892354736457</c:v>
                </c:pt>
                <c:pt idx="335">
                  <c:v>1.3846547060818284</c:v>
                </c:pt>
                <c:pt idx="336">
                  <c:v>1.5231201766900111</c:v>
                </c:pt>
                <c:pt idx="337">
                  <c:v>1.6615856472981938</c:v>
                </c:pt>
                <c:pt idx="338">
                  <c:v>1.8000511179063774</c:v>
                </c:pt>
                <c:pt idx="339">
                  <c:v>1.9385165885145592</c:v>
                </c:pt>
                <c:pt idx="340">
                  <c:v>2.0769820591227428</c:v>
                </c:pt>
                <c:pt idx="341">
                  <c:v>2.2154475297309255</c:v>
                </c:pt>
                <c:pt idx="342">
                  <c:v>2.3539130003391073</c:v>
                </c:pt>
                <c:pt idx="343">
                  <c:v>2.4923784709472909</c:v>
                </c:pt>
                <c:pt idx="344">
                  <c:v>2.6308439415554736</c:v>
                </c:pt>
                <c:pt idx="345">
                  <c:v>2.7693094121636572</c:v>
                </c:pt>
                <c:pt idx="346">
                  <c:v>2.907774882771839</c:v>
                </c:pt>
                <c:pt idx="347">
                  <c:v>3.0462403533800217</c:v>
                </c:pt>
                <c:pt idx="348">
                  <c:v>3.1847058239882053</c:v>
                </c:pt>
                <c:pt idx="349">
                  <c:v>3.323171294596388</c:v>
                </c:pt>
                <c:pt idx="350">
                  <c:v>3.4616367652045716</c:v>
                </c:pt>
                <c:pt idx="351">
                  <c:v>1.5522531693191839</c:v>
                </c:pt>
                <c:pt idx="352">
                  <c:v>1.6501630425464167</c:v>
                </c:pt>
                <c:pt idx="353">
                  <c:v>1.748072915773649</c:v>
                </c:pt>
                <c:pt idx="354">
                  <c:v>1.8459827890008818</c:v>
                </c:pt>
                <c:pt idx="355">
                  <c:v>1.9438926622281145</c:v>
                </c:pt>
                <c:pt idx="356">
                  <c:v>2.0418025354553473</c:v>
                </c:pt>
                <c:pt idx="357">
                  <c:v>2.1397124086825796</c:v>
                </c:pt>
                <c:pt idx="358">
                  <c:v>2.2376222819098124</c:v>
                </c:pt>
                <c:pt idx="359">
                  <c:v>2.3355321551370452</c:v>
                </c:pt>
                <c:pt idx="360">
                  <c:v>2.4334420283642775</c:v>
                </c:pt>
                <c:pt idx="361">
                  <c:v>2.5313519015915102</c:v>
                </c:pt>
                <c:pt idx="362">
                  <c:v>2.629261774818743</c:v>
                </c:pt>
                <c:pt idx="363">
                  <c:v>2.7271716480459753</c:v>
                </c:pt>
                <c:pt idx="364">
                  <c:v>2.8250815212732086</c:v>
                </c:pt>
                <c:pt idx="365">
                  <c:v>2.9229913945004409</c:v>
                </c:pt>
                <c:pt idx="366">
                  <c:v>3.0209012677276736</c:v>
                </c:pt>
                <c:pt idx="367">
                  <c:v>3.1188111409549064</c:v>
                </c:pt>
                <c:pt idx="368">
                  <c:v>3.2167210141821387</c:v>
                </c:pt>
                <c:pt idx="369">
                  <c:v>3.3146308874093715</c:v>
                </c:pt>
                <c:pt idx="370">
                  <c:v>3.4125407606366043</c:v>
                </c:pt>
                <c:pt idx="371">
                  <c:v>3.5104506338638366</c:v>
                </c:pt>
                <c:pt idx="372">
                  <c:v>3.6083605070910694</c:v>
                </c:pt>
                <c:pt idx="373">
                  <c:v>3.7062703803183021</c:v>
                </c:pt>
                <c:pt idx="374">
                  <c:v>3.8041802535455349</c:v>
                </c:pt>
                <c:pt idx="375">
                  <c:v>3.9020901267727672</c:v>
                </c:pt>
                <c:pt idx="376">
                  <c:v>4</c:v>
                </c:pt>
                <c:pt idx="377">
                  <c:v>4.0979098732272323</c:v>
                </c:pt>
                <c:pt idx="378">
                  <c:v>4.1958197464544646</c:v>
                </c:pt>
                <c:pt idx="379">
                  <c:v>4.2937296196816979</c:v>
                </c:pt>
                <c:pt idx="380">
                  <c:v>4.3916394929089302</c:v>
                </c:pt>
                <c:pt idx="381">
                  <c:v>4.4895493661361634</c:v>
                </c:pt>
                <c:pt idx="382">
                  <c:v>4.5874592393633957</c:v>
                </c:pt>
                <c:pt idx="383">
                  <c:v>4.685369112590628</c:v>
                </c:pt>
                <c:pt idx="384">
                  <c:v>4.7832789858178613</c:v>
                </c:pt>
                <c:pt idx="385">
                  <c:v>4.8811888590450936</c:v>
                </c:pt>
                <c:pt idx="386">
                  <c:v>4.9790987322723268</c:v>
                </c:pt>
                <c:pt idx="387">
                  <c:v>5.0770086054995591</c:v>
                </c:pt>
                <c:pt idx="388">
                  <c:v>5.1749184787267914</c:v>
                </c:pt>
                <c:pt idx="389">
                  <c:v>5.2728283519540238</c:v>
                </c:pt>
                <c:pt idx="390">
                  <c:v>5.370738225181257</c:v>
                </c:pt>
                <c:pt idx="391">
                  <c:v>5.4686480984084902</c:v>
                </c:pt>
                <c:pt idx="392">
                  <c:v>5.5665579716357225</c:v>
                </c:pt>
                <c:pt idx="393">
                  <c:v>5.6644678448629548</c:v>
                </c:pt>
                <c:pt idx="394">
                  <c:v>5.7623777180901872</c:v>
                </c:pt>
                <c:pt idx="395">
                  <c:v>5.8602875913174204</c:v>
                </c:pt>
                <c:pt idx="396">
                  <c:v>5.9581974645446527</c:v>
                </c:pt>
                <c:pt idx="397">
                  <c:v>6.0561073377718859</c:v>
                </c:pt>
                <c:pt idx="398">
                  <c:v>6.1540172109991182</c:v>
                </c:pt>
                <c:pt idx="399">
                  <c:v>6.2519270842263506</c:v>
                </c:pt>
                <c:pt idx="400">
                  <c:v>6.3498369574535838</c:v>
                </c:pt>
                <c:pt idx="401">
                  <c:v>6.4477468306808161</c:v>
                </c:pt>
              </c:numCache>
            </c:numRef>
          </c:xVal>
          <c:yVal>
            <c:numRef>
              <c:f>'Simulation data'!$F$21:$F$422</c:f>
              <c:numCache>
                <c:formatCode>General</c:formatCode>
                <c:ptCount val="402"/>
                <c:pt idx="0">
                  <c:v>0.97043816678320116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0.13385795617979687</c:v>
                </c:pt>
                <c:pt idx="5">
                  <c:v>1.5939339609609653</c:v>
                </c:pt>
                <c:pt idx="6">
                  <c:v>-0.28618309883499782</c:v>
                </c:pt>
                <c:pt idx="7">
                  <c:v>-0.76989465834153181</c:v>
                </c:pt>
                <c:pt idx="8">
                  <c:v>-0.53080305870038769</c:v>
                </c:pt>
                <c:pt idx="9">
                  <c:v>#N/A</c:v>
                </c:pt>
                <c:pt idx="10">
                  <c:v>-9.6999822613876185E-2</c:v>
                </c:pt>
                <c:pt idx="11">
                  <c:v>#N/A</c:v>
                </c:pt>
                <c:pt idx="12">
                  <c:v>0.62784153563177958</c:v>
                </c:pt>
                <c:pt idx="13">
                  <c:v>-0.58528186108806324</c:v>
                </c:pt>
                <c:pt idx="14">
                  <c:v>#N/A</c:v>
                </c:pt>
                <c:pt idx="15">
                  <c:v>0.84490333146139562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-1.3213708754517626</c:v>
                </c:pt>
                <c:pt idx="21">
                  <c:v>1.1384930784411349</c:v>
                </c:pt>
                <c:pt idx="22">
                  <c:v>#N/A</c:v>
                </c:pt>
                <c:pt idx="23">
                  <c:v>#N/A</c:v>
                </c:pt>
                <c:pt idx="24">
                  <c:v>0.54247850777974804</c:v>
                </c:pt>
                <c:pt idx="25">
                  <c:v>0.94263755283431794</c:v>
                </c:pt>
                <c:pt idx="26">
                  <c:v>-0.87755413954322092</c:v>
                </c:pt>
                <c:pt idx="27">
                  <c:v>0.72654005066302962</c:v>
                </c:pt>
                <c:pt idx="28">
                  <c:v>#N/A</c:v>
                </c:pt>
                <c:pt idx="29">
                  <c:v>1.9582439529326852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-0.24748845965545208</c:v>
                </c:pt>
                <c:pt idx="34">
                  <c:v>0.53565201309621113</c:v>
                </c:pt>
                <c:pt idx="35">
                  <c:v>#N/A</c:v>
                </c:pt>
                <c:pt idx="36">
                  <c:v>1.4148218546387457</c:v>
                </c:pt>
                <c:pt idx="37">
                  <c:v>0.4892909937328867</c:v>
                </c:pt>
                <c:pt idx="38">
                  <c:v>1.2980628060708148</c:v>
                </c:pt>
                <c:pt idx="39">
                  <c:v>0.36216689780307021</c:v>
                </c:pt>
                <c:pt idx="40">
                  <c:v>0.66944383531158547</c:v>
                </c:pt>
                <c:pt idx="41">
                  <c:v>#N/A</c:v>
                </c:pt>
                <c:pt idx="42">
                  <c:v>1.1113155232550731</c:v>
                </c:pt>
                <c:pt idx="43">
                  <c:v>1.4854904517624401</c:v>
                </c:pt>
                <c:pt idx="44">
                  <c:v>#N/A</c:v>
                </c:pt>
                <c:pt idx="45">
                  <c:v>-1.1154959125052932E-2</c:v>
                </c:pt>
                <c:pt idx="46">
                  <c:v>-2.155579781297226E-2</c:v>
                </c:pt>
                <c:pt idx="47">
                  <c:v>-1.9049677521168906</c:v>
                </c:pt>
                <c:pt idx="48">
                  <c:v>0.18613665035716853</c:v>
                </c:pt>
                <c:pt idx="49">
                  <c:v>#N/A</c:v>
                </c:pt>
                <c:pt idx="50">
                  <c:v>1.3311464632220005</c:v>
                </c:pt>
                <c:pt idx="51">
                  <c:v>-4.3781641212894906E-2</c:v>
                </c:pt>
                <c:pt idx="52">
                  <c:v>#N/A</c:v>
                </c:pt>
                <c:pt idx="53">
                  <c:v>#N/A</c:v>
                </c:pt>
                <c:pt idx="54">
                  <c:v>0.41289902818007074</c:v>
                </c:pt>
                <c:pt idx="55">
                  <c:v>8.923296071053953E-2</c:v>
                </c:pt>
                <c:pt idx="56">
                  <c:v>-0.99111348373065411</c:v>
                </c:pt>
                <c:pt idx="57">
                  <c:v>0.44684114408940578</c:v>
                </c:pt>
                <c:pt idx="58">
                  <c:v>#N/A</c:v>
                </c:pt>
                <c:pt idx="59">
                  <c:v>0.11329177684960107</c:v>
                </c:pt>
                <c:pt idx="60">
                  <c:v>1.6283394215218168</c:v>
                </c:pt>
                <c:pt idx="61">
                  <c:v>#N/A</c:v>
                </c:pt>
                <c:pt idx="62">
                  <c:v>0.80587890455180211</c:v>
                </c:pt>
                <c:pt idx="63">
                  <c:v>#N/A</c:v>
                </c:pt>
                <c:pt idx="64">
                  <c:v>#N/A</c:v>
                </c:pt>
                <c:pt idx="65">
                  <c:v>-0.59983581784299023</c:v>
                </c:pt>
                <c:pt idx="66">
                  <c:v>0.5972497232443128</c:v>
                </c:pt>
                <c:pt idx="67">
                  <c:v>-1.3631080329101725E-2</c:v>
                </c:pt>
                <c:pt idx="68">
                  <c:v>-0.30600103158439013</c:v>
                </c:pt>
                <c:pt idx="69">
                  <c:v>-8.2112417581040459E-2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0.7756315983127231</c:v>
                </c:pt>
                <c:pt idx="74">
                  <c:v>0.72911493730221333</c:v>
                </c:pt>
                <c:pt idx="75">
                  <c:v>1.4675663505503158</c:v>
                </c:pt>
                <c:pt idx="76">
                  <c:v>#N/A</c:v>
                </c:pt>
                <c:pt idx="77">
                  <c:v>#N/A</c:v>
                </c:pt>
                <c:pt idx="78">
                  <c:v>1.8075723459317197</c:v>
                </c:pt>
                <c:pt idx="79">
                  <c:v>#N/A</c:v>
                </c:pt>
                <c:pt idx="80">
                  <c:v>2.3999121338791638</c:v>
                </c:pt>
                <c:pt idx="81">
                  <c:v>-1.1078646130491172</c:v>
                </c:pt>
                <c:pt idx="82">
                  <c:v>-0.60809140817324292</c:v>
                </c:pt>
                <c:pt idx="83">
                  <c:v>-4.353286587913209E-2</c:v>
                </c:pt>
                <c:pt idx="84">
                  <c:v>0.74446243040382298</c:v>
                </c:pt>
                <c:pt idx="85">
                  <c:v>1.492782533978543</c:v>
                </c:pt>
                <c:pt idx="86">
                  <c:v>8.1544437634432754E-2</c:v>
                </c:pt>
                <c:pt idx="87">
                  <c:v>#N/A</c:v>
                </c:pt>
                <c:pt idx="88">
                  <c:v>#N/A</c:v>
                </c:pt>
                <c:pt idx="89">
                  <c:v>-0.44726162594694313</c:v>
                </c:pt>
                <c:pt idx="90">
                  <c:v>-0.36902640668956482</c:v>
                </c:pt>
                <c:pt idx="91">
                  <c:v>#N/A</c:v>
                </c:pt>
                <c:pt idx="92">
                  <c:v>-1.0524698999078124</c:v>
                </c:pt>
                <c:pt idx="93">
                  <c:v>-1.6062446770865535</c:v>
                </c:pt>
                <c:pt idx="94">
                  <c:v>#N/A</c:v>
                </c:pt>
                <c:pt idx="95">
                  <c:v>0.57410808338347463</c:v>
                </c:pt>
                <c:pt idx="96">
                  <c:v>#N/A</c:v>
                </c:pt>
                <c:pt idx="97">
                  <c:v>0.56257452576318112</c:v>
                </c:pt>
                <c:pt idx="98">
                  <c:v>0.26281691989729489</c:v>
                </c:pt>
                <c:pt idx="99">
                  <c:v>-0.2392659800377962</c:v>
                </c:pt>
                <c:pt idx="100">
                  <c:v>#N/A</c:v>
                </c:pt>
                <c:pt idx="101">
                  <c:v>-1.9138397773711537</c:v>
                </c:pt>
                <c:pt idx="102">
                  <c:v>#N/A</c:v>
                </c:pt>
                <c:pt idx="103">
                  <c:v>-1.0017213938248004</c:v>
                </c:pt>
                <c:pt idx="104">
                  <c:v>#N/A</c:v>
                </c:pt>
                <c:pt idx="105">
                  <c:v>1.5668190856358477</c:v>
                </c:pt>
                <c:pt idx="106">
                  <c:v>-0.45577097428454144</c:v>
                </c:pt>
                <c:pt idx="107">
                  <c:v>-1.1510082832986051</c:v>
                </c:pt>
                <c:pt idx="108">
                  <c:v>#N/A</c:v>
                </c:pt>
                <c:pt idx="109">
                  <c:v>-0.12507124649284904</c:v>
                </c:pt>
                <c:pt idx="110">
                  <c:v>-0.77089926549386611</c:v>
                </c:pt>
                <c:pt idx="111">
                  <c:v>1.7755286131345811</c:v>
                </c:pt>
                <c:pt idx="112">
                  <c:v>-0.48612405158756344</c:v>
                </c:pt>
                <c:pt idx="113">
                  <c:v>-0.12392560404427307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0.51467781231184873</c:v>
                </c:pt>
                <c:pt idx="118">
                  <c:v>-1.4888980078793235</c:v>
                </c:pt>
                <c:pt idx="119">
                  <c:v>-0.56349437381790679</c:v>
                </c:pt>
                <c:pt idx="120">
                  <c:v>#N/A</c:v>
                </c:pt>
                <c:pt idx="121">
                  <c:v>-1.6739622441489002</c:v>
                </c:pt>
                <c:pt idx="122">
                  <c:v>-0.57264252325581932</c:v>
                </c:pt>
                <c:pt idx="123">
                  <c:v>0.1027596456376057</c:v>
                </c:pt>
                <c:pt idx="124">
                  <c:v>1.3771736658787108</c:v>
                </c:pt>
                <c:pt idx="125">
                  <c:v>0.97021428368921037</c:v>
                </c:pt>
                <c:pt idx="126">
                  <c:v>#N/A</c:v>
                </c:pt>
                <c:pt idx="127">
                  <c:v>#N/A</c:v>
                </c:pt>
                <c:pt idx="128">
                  <c:v>-4.4589271536046859E-3</c:v>
                </c:pt>
                <c:pt idx="129">
                  <c:v>#N/A</c:v>
                </c:pt>
                <c:pt idx="130">
                  <c:v>-1.0762036791955865E-4</c:v>
                </c:pt>
                <c:pt idx="131">
                  <c:v>#N/A</c:v>
                </c:pt>
                <c:pt idx="132">
                  <c:v>-0.13579471540328777</c:v>
                </c:pt>
                <c:pt idx="133">
                  <c:v>#N/A</c:v>
                </c:pt>
                <c:pt idx="134">
                  <c:v>1.1554071438879405</c:v>
                </c:pt>
                <c:pt idx="135">
                  <c:v>-1.6764691033589678</c:v>
                </c:pt>
                <c:pt idx="136">
                  <c:v>1.0564675289823449</c:v>
                </c:pt>
                <c:pt idx="137">
                  <c:v>#N/A</c:v>
                </c:pt>
                <c:pt idx="138">
                  <c:v>0.58757421410621902</c:v>
                </c:pt>
                <c:pt idx="139">
                  <c:v>#N/A</c:v>
                </c:pt>
                <c:pt idx="140">
                  <c:v>1.4769536332694182</c:v>
                </c:pt>
                <c:pt idx="141">
                  <c:v>#N/A</c:v>
                </c:pt>
                <c:pt idx="142">
                  <c:v>1.5238652627073193</c:v>
                </c:pt>
                <c:pt idx="143">
                  <c:v>-0.30026087419311798</c:v>
                </c:pt>
                <c:pt idx="144">
                  <c:v>-0.31437405629792881</c:v>
                </c:pt>
                <c:pt idx="145">
                  <c:v>-4.7227199785103147E-2</c:v>
                </c:pt>
                <c:pt idx="146">
                  <c:v>#N/A</c:v>
                </c:pt>
                <c:pt idx="147">
                  <c:v>0.85347782321855048</c:v>
                </c:pt>
                <c:pt idx="148">
                  <c:v>1.0836795107860815</c:v>
                </c:pt>
                <c:pt idx="149">
                  <c:v>-0.5554645957605846</c:v>
                </c:pt>
                <c:pt idx="150">
                  <c:v>-0.26204156714551918</c:v>
                </c:pt>
                <c:pt idx="151">
                  <c:v>0.95596122233287306</c:v>
                </c:pt>
                <c:pt idx="152">
                  <c:v>1.632096571034374</c:v>
                </c:pt>
                <c:pt idx="153">
                  <c:v>-1.1240360258104922</c:v>
                </c:pt>
                <c:pt idx="154">
                  <c:v>0.67958355664490777</c:v>
                </c:pt>
                <c:pt idx="155">
                  <c:v>-0.20782748356523328</c:v>
                </c:pt>
                <c:pt idx="156">
                  <c:v>#N/A</c:v>
                </c:pt>
                <c:pt idx="157">
                  <c:v>0.37857185145723482</c:v>
                </c:pt>
                <c:pt idx="158">
                  <c:v>6.4579524475935846E-2</c:v>
                </c:pt>
                <c:pt idx="159">
                  <c:v>1.285580401121067</c:v>
                </c:pt>
                <c:pt idx="160">
                  <c:v>#N/A</c:v>
                </c:pt>
                <c:pt idx="161">
                  <c:v>#N/A</c:v>
                </c:pt>
                <c:pt idx="162">
                  <c:v>0.7107306569671713</c:v>
                </c:pt>
                <c:pt idx="163">
                  <c:v>0.3089692588218132</c:v>
                </c:pt>
                <c:pt idx="164">
                  <c:v>-0.58205548460644618</c:v>
                </c:pt>
                <c:pt idx="165">
                  <c:v>-0.18296581211667839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0.22514708973440875</c:v>
                </c:pt>
                <c:pt idx="172">
                  <c:v>0.63805673046022759</c:v>
                </c:pt>
                <c:pt idx="173">
                  <c:v>0.18682618895940312</c:v>
                </c:pt>
                <c:pt idx="174">
                  <c:v>-0.69777012398519944</c:v>
                </c:pt>
                <c:pt idx="175">
                  <c:v>#N/A</c:v>
                </c:pt>
                <c:pt idx="176">
                  <c:v>-0.51078451507851608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-0.56555452162185982</c:v>
                </c:pt>
                <c:pt idx="181">
                  <c:v>#N/A</c:v>
                </c:pt>
                <c:pt idx="182">
                  <c:v>-0.46988333055910503</c:v>
                </c:pt>
                <c:pt idx="183">
                  <c:v>#N/A</c:v>
                </c:pt>
                <c:pt idx="184">
                  <c:v>#N/A</c:v>
                </c:pt>
                <c:pt idx="185">
                  <c:v>0.54026822091527937</c:v>
                </c:pt>
                <c:pt idx="186">
                  <c:v>0.2544702358528087</c:v>
                </c:pt>
                <c:pt idx="187">
                  <c:v>0.28378769805931497</c:v>
                </c:pt>
                <c:pt idx="188">
                  <c:v>#N/A</c:v>
                </c:pt>
                <c:pt idx="189">
                  <c:v>0.43584404735805582</c:v>
                </c:pt>
                <c:pt idx="190">
                  <c:v>0.11138259092754538</c:v>
                </c:pt>
                <c:pt idx="191">
                  <c:v>0.90029807197741696</c:v>
                </c:pt>
                <c:pt idx="192">
                  <c:v>#N/A</c:v>
                </c:pt>
                <c:pt idx="193">
                  <c:v>-1.043343770668189</c:v>
                </c:pt>
                <c:pt idx="194">
                  <c:v>0.67563801594573591</c:v>
                </c:pt>
                <c:pt idx="195">
                  <c:v>-1.0278824640570783E-2</c:v>
                </c:pt>
                <c:pt idx="196">
                  <c:v>#N/A</c:v>
                </c:pt>
                <c:pt idx="197">
                  <c:v>1.2352289611535689</c:v>
                </c:pt>
                <c:pt idx="198">
                  <c:v>-0.47096716907392211</c:v>
                </c:pt>
                <c:pt idx="199">
                  <c:v>1.462892798723413</c:v>
                </c:pt>
                <c:pt idx="200">
                  <c:v>8.5994322814170132E-2</c:v>
                </c:pt>
                <c:pt idx="201">
                  <c:v>#N/A</c:v>
                </c:pt>
                <c:pt idx="202">
                  <c:v>-0.67076795649976506</c:v>
                </c:pt>
                <c:pt idx="203">
                  <c:v>#N/A</c:v>
                </c:pt>
                <c:pt idx="204">
                  <c:v>0.25050811761110542</c:v>
                </c:pt>
                <c:pt idx="205">
                  <c:v>-0.19965675560790613</c:v>
                </c:pt>
                <c:pt idx="206">
                  <c:v>-0.10773651042135635</c:v>
                </c:pt>
                <c:pt idx="207">
                  <c:v>#N/A</c:v>
                </c:pt>
                <c:pt idx="208">
                  <c:v>-0.53936400581453048</c:v>
                </c:pt>
                <c:pt idx="209">
                  <c:v>2.3642726736193898</c:v>
                </c:pt>
                <c:pt idx="210">
                  <c:v>#N/A</c:v>
                </c:pt>
                <c:pt idx="211">
                  <c:v>1.8306056813795402</c:v>
                </c:pt>
                <c:pt idx="212">
                  <c:v>2.583606754608649</c:v>
                </c:pt>
                <c:pt idx="213">
                  <c:v>1.8091667808022951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0.58544182569837511</c:v>
                </c:pt>
                <c:pt idx="218">
                  <c:v>-0.93256346083726616</c:v>
                </c:pt>
                <c:pt idx="219">
                  <c:v>-9.9667964351168314E-2</c:v>
                </c:pt>
                <c:pt idx="220">
                  <c:v>#N/A</c:v>
                </c:pt>
                <c:pt idx="221">
                  <c:v>-0.35113445105427521</c:v>
                </c:pt>
                <c:pt idx="222">
                  <c:v>0.1173512326641154</c:v>
                </c:pt>
                <c:pt idx="223">
                  <c:v>0.48569285183833488</c:v>
                </c:pt>
                <c:pt idx="224">
                  <c:v>#N/A</c:v>
                </c:pt>
                <c:pt idx="225">
                  <c:v>#N/A</c:v>
                </c:pt>
                <c:pt idx="226">
                  <c:v>0.74572692259700557</c:v>
                </c:pt>
                <c:pt idx="227">
                  <c:v>#N/A</c:v>
                </c:pt>
                <c:pt idx="228">
                  <c:v>0.4736822389642722</c:v>
                </c:pt>
                <c:pt idx="229">
                  <c:v>-0.50085315674502606</c:v>
                </c:pt>
                <c:pt idx="230">
                  <c:v>0.51824722708822724</c:v>
                </c:pt>
                <c:pt idx="231">
                  <c:v>#N/A</c:v>
                </c:pt>
                <c:pt idx="232">
                  <c:v>0.62545665015520135</c:v>
                </c:pt>
                <c:pt idx="233">
                  <c:v>0.93293584970089594</c:v>
                </c:pt>
                <c:pt idx="234">
                  <c:v>#N/A</c:v>
                </c:pt>
                <c:pt idx="235">
                  <c:v>1.0163455936523664</c:v>
                </c:pt>
                <c:pt idx="236">
                  <c:v>1.0533477324721496</c:v>
                </c:pt>
                <c:pt idx="237">
                  <c:v>-1.7699186127958473</c:v>
                </c:pt>
                <c:pt idx="238">
                  <c:v>-1.1524581461083181</c:v>
                </c:pt>
                <c:pt idx="239">
                  <c:v>1.3257547980981379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9.7082136552386261E-2</c:v>
                </c:pt>
                <c:pt idx="244">
                  <c:v>#N/A</c:v>
                </c:pt>
                <c:pt idx="245">
                  <c:v>0.89597304237209241</c:v>
                </c:pt>
                <c:pt idx="246">
                  <c:v>-1.3423840507968108</c:v>
                </c:pt>
                <c:pt idx="247">
                  <c:v>-0.20853549018200584</c:v>
                </c:pt>
                <c:pt idx="248">
                  <c:v>0.19996728428905589</c:v>
                </c:pt>
                <c:pt idx="249">
                  <c:v>#N/A</c:v>
                </c:pt>
                <c:pt idx="250">
                  <c:v>#N/A</c:v>
                </c:pt>
                <c:pt idx="251">
                  <c:v>0.38084823136142532</c:v>
                </c:pt>
                <c:pt idx="252">
                  <c:v>-6.2975295716193702E-2</c:v>
                </c:pt>
                <c:pt idx="253">
                  <c:v>0.69036232465409508</c:v>
                </c:pt>
                <c:pt idx="254">
                  <c:v>#N/A</c:v>
                </c:pt>
                <c:pt idx="255">
                  <c:v>0.6366397762469922</c:v>
                </c:pt>
                <c:pt idx="256">
                  <c:v>-0.20792831068902601</c:v>
                </c:pt>
                <c:pt idx="257">
                  <c:v>-1.1640704235363164</c:v>
                </c:pt>
                <c:pt idx="258">
                  <c:v>-0.74141123246123164</c:v>
                </c:pt>
                <c:pt idx="259">
                  <c:v>#N/A</c:v>
                </c:pt>
                <c:pt idx="260">
                  <c:v>-0.10222283015797726</c:v>
                </c:pt>
                <c:pt idx="261">
                  <c:v>#N/A</c:v>
                </c:pt>
                <c:pt idx="262">
                  <c:v>1.0774812733050081</c:v>
                </c:pt>
                <c:pt idx="263">
                  <c:v>-0.17486327053643647</c:v>
                </c:pt>
                <c:pt idx="264">
                  <c:v>#N/A</c:v>
                </c:pt>
                <c:pt idx="265">
                  <c:v>-0.93030293326920888</c:v>
                </c:pt>
                <c:pt idx="266">
                  <c:v>0.98325345810975429</c:v>
                </c:pt>
                <c:pt idx="267">
                  <c:v>4.2294481921424515E-2</c:v>
                </c:pt>
                <c:pt idx="268">
                  <c:v>0.97248934243001783</c:v>
                </c:pt>
                <c:pt idx="269">
                  <c:v>2.027963536752543</c:v>
                </c:pt>
                <c:pt idx="270">
                  <c:v>-0.36011498841014444</c:v>
                </c:pt>
                <c:pt idx="271">
                  <c:v>#N/A</c:v>
                </c:pt>
                <c:pt idx="272">
                  <c:v>#N/A</c:v>
                </c:pt>
                <c:pt idx="273">
                  <c:v>-0.94009456157037596</c:v>
                </c:pt>
                <c:pt idx="274">
                  <c:v>-0.31704794915912388</c:v>
                </c:pt>
                <c:pt idx="275">
                  <c:v>#N/A</c:v>
                </c:pt>
                <c:pt idx="276">
                  <c:v>#N/A</c:v>
                </c:pt>
                <c:pt idx="277">
                  <c:v>0.48842392056974837</c:v>
                </c:pt>
                <c:pt idx="278">
                  <c:v>#N/A</c:v>
                </c:pt>
                <c:pt idx="279">
                  <c:v>0.71669176978142002</c:v>
                </c:pt>
                <c:pt idx="280">
                  <c:v>0.72678171064561636</c:v>
                </c:pt>
                <c:pt idx="281">
                  <c:v>-0.71455624689379216</c:v>
                </c:pt>
                <c:pt idx="282">
                  <c:v>-1.036534709299106</c:v>
                </c:pt>
                <c:pt idx="283">
                  <c:v>0.7656107443339758</c:v>
                </c:pt>
                <c:pt idx="284">
                  <c:v>-0.74336371546298752</c:v>
                </c:pt>
                <c:pt idx="285">
                  <c:v>-0.55240845107532288</c:v>
                </c:pt>
                <c:pt idx="286">
                  <c:v>-0.14944033096556522</c:v>
                </c:pt>
                <c:pt idx="287">
                  <c:v>-2.7284028900152468E-2</c:v>
                </c:pt>
                <c:pt idx="288">
                  <c:v>-3.5581822084548742E-2</c:v>
                </c:pt>
                <c:pt idx="289">
                  <c:v>0.36601636902833834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-0.89302925718139137</c:v>
                </c:pt>
                <c:pt idx="295">
                  <c:v>#N/A</c:v>
                </c:pt>
                <c:pt idx="296">
                  <c:v>-2.3633108482580365</c:v>
                </c:pt>
                <c:pt idx="297">
                  <c:v>#N/A</c:v>
                </c:pt>
                <c:pt idx="298">
                  <c:v>#N/A</c:v>
                </c:pt>
                <c:pt idx="299">
                  <c:v>0.11542846741146179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'Simulation data'!$G$20</c:f>
              <c:strCache>
                <c:ptCount val="1"/>
                <c:pt idx="0">
                  <c:v>Class 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</c:marker>
          <c:xVal>
            <c:numRef>
              <c:f>'Simulation data'!$C$21:$C$422</c:f>
              <c:numCache>
                <c:formatCode>General</c:formatCode>
                <c:ptCount val="402"/>
                <c:pt idx="0">
                  <c:v>-2.1458090045514067</c:v>
                </c:pt>
                <c:pt idx="1">
                  <c:v>3.2321360045660699</c:v>
                </c:pt>
                <c:pt idx="2">
                  <c:v>4.9401718757169304</c:v>
                </c:pt>
                <c:pt idx="3">
                  <c:v>3.8101809249088845</c:v>
                </c:pt>
                <c:pt idx="4">
                  <c:v>-4.9145426282480267E-2</c:v>
                </c:pt>
                <c:pt idx="5">
                  <c:v>-2.5228432546258131E-2</c:v>
                </c:pt>
                <c:pt idx="6">
                  <c:v>-0.29220078622149359</c:v>
                </c:pt>
                <c:pt idx="7">
                  <c:v>0.49613641368855654</c:v>
                </c:pt>
                <c:pt idx="8">
                  <c:v>-0.56473713272988635</c:v>
                </c:pt>
                <c:pt idx="9">
                  <c:v>4.2390780799608194</c:v>
                </c:pt>
                <c:pt idx="10">
                  <c:v>-1.1607911976569065</c:v>
                </c:pt>
                <c:pt idx="11">
                  <c:v>4.3915782617710164</c:v>
                </c:pt>
                <c:pt idx="12">
                  <c:v>-1.6970819022287003</c:v>
                </c:pt>
                <c:pt idx="13">
                  <c:v>-1.1039833758771549</c:v>
                </c:pt>
                <c:pt idx="14">
                  <c:v>3.8594640680730765</c:v>
                </c:pt>
                <c:pt idx="15">
                  <c:v>-1.5888254252359202</c:v>
                </c:pt>
                <c:pt idx="16">
                  <c:v>3.1700254907721344</c:v>
                </c:pt>
                <c:pt idx="17">
                  <c:v>4.5703129876344226</c:v>
                </c:pt>
                <c:pt idx="18">
                  <c:v>3.5076650710607127</c:v>
                </c:pt>
                <c:pt idx="19">
                  <c:v>4.5448847299734689</c:v>
                </c:pt>
                <c:pt idx="20">
                  <c:v>0.62275887877545733</c:v>
                </c:pt>
                <c:pt idx="21">
                  <c:v>-2.8518153123804284</c:v>
                </c:pt>
                <c:pt idx="22">
                  <c:v>3.3959342300941153</c:v>
                </c:pt>
                <c:pt idx="23">
                  <c:v>4.8282492711948386</c:v>
                </c:pt>
                <c:pt idx="24">
                  <c:v>-2.4425088894226077</c:v>
                </c:pt>
                <c:pt idx="25">
                  <c:v>-1.2016605648263705</c:v>
                </c:pt>
                <c:pt idx="26">
                  <c:v>-1.9836222454864094</c:v>
                </c:pt>
                <c:pt idx="27">
                  <c:v>1.6622592288218931</c:v>
                </c:pt>
                <c:pt idx="28">
                  <c:v>3.6762867759521787</c:v>
                </c:pt>
                <c:pt idx="29">
                  <c:v>0.24139067967495381</c:v>
                </c:pt>
                <c:pt idx="30">
                  <c:v>3.6844118986422254</c:v>
                </c:pt>
                <c:pt idx="31">
                  <c:v>4.1239662011296749</c:v>
                </c:pt>
                <c:pt idx="32">
                  <c:v>4.0536739765063983</c:v>
                </c:pt>
                <c:pt idx="33">
                  <c:v>0.39334960106432287</c:v>
                </c:pt>
                <c:pt idx="34">
                  <c:v>-0.15681921393749493</c:v>
                </c:pt>
                <c:pt idx="35">
                  <c:v>3.3177088846235838</c:v>
                </c:pt>
                <c:pt idx="36">
                  <c:v>-1.8021770233629841</c:v>
                </c:pt>
                <c:pt idx="37">
                  <c:v>-3.9052468460126173</c:v>
                </c:pt>
                <c:pt idx="38">
                  <c:v>-1.9755702888926949</c:v>
                </c:pt>
                <c:pt idx="39">
                  <c:v>2.2980267342775349</c:v>
                </c:pt>
                <c:pt idx="40">
                  <c:v>-0.24628108181306216</c:v>
                </c:pt>
                <c:pt idx="41">
                  <c:v>4.8256020158874122</c:v>
                </c:pt>
                <c:pt idx="42">
                  <c:v>2.3485839654435177</c:v>
                </c:pt>
                <c:pt idx="43">
                  <c:v>0.15723997490911548</c:v>
                </c:pt>
                <c:pt idx="44">
                  <c:v>3.4724211971263492</c:v>
                </c:pt>
                <c:pt idx="45">
                  <c:v>1.2562848598038634</c:v>
                </c:pt>
                <c:pt idx="46">
                  <c:v>-0.90484495195411307</c:v>
                </c:pt>
                <c:pt idx="47">
                  <c:v>3.240484936416439</c:v>
                </c:pt>
                <c:pt idx="48">
                  <c:v>-0.31959727481456074</c:v>
                </c:pt>
                <c:pt idx="49">
                  <c:v>4.2799461829071008</c:v>
                </c:pt>
                <c:pt idx="50">
                  <c:v>-1.1384909306303921</c:v>
                </c:pt>
                <c:pt idx="51">
                  <c:v>1.0213065931182101</c:v>
                </c:pt>
                <c:pt idx="52">
                  <c:v>3.9301409054848109</c:v>
                </c:pt>
                <c:pt idx="53">
                  <c:v>4.9510889912519138</c:v>
                </c:pt>
                <c:pt idx="54">
                  <c:v>-0.36732403248139234</c:v>
                </c:pt>
                <c:pt idx="55">
                  <c:v>0.4457258867229475</c:v>
                </c:pt>
                <c:pt idx="56">
                  <c:v>-0.55964932491555897</c:v>
                </c:pt>
                <c:pt idx="57">
                  <c:v>-1.0201682172990389</c:v>
                </c:pt>
                <c:pt idx="58">
                  <c:v>3.5100407190048366</c:v>
                </c:pt>
                <c:pt idx="59">
                  <c:v>1.3614527248869044</c:v>
                </c:pt>
                <c:pt idx="60">
                  <c:v>-0.59891529283364242</c:v>
                </c:pt>
                <c:pt idx="61">
                  <c:v>5.9120690826819189</c:v>
                </c:pt>
                <c:pt idx="62">
                  <c:v>0.22127109717878579</c:v>
                </c:pt>
                <c:pt idx="63">
                  <c:v>4.1715147059341415</c:v>
                </c:pt>
                <c:pt idx="64">
                  <c:v>3.3106107239140123</c:v>
                </c:pt>
                <c:pt idx="65">
                  <c:v>-0.28871106262617879</c:v>
                </c:pt>
                <c:pt idx="66">
                  <c:v>-2.1343432574844834</c:v>
                </c:pt>
                <c:pt idx="67">
                  <c:v>0.14201055694206449</c:v>
                </c:pt>
                <c:pt idx="68">
                  <c:v>0.37144709870516529</c:v>
                </c:pt>
                <c:pt idx="69">
                  <c:v>-0.44318579492173782</c:v>
                </c:pt>
                <c:pt idx="70">
                  <c:v>4.8876143904644413</c:v>
                </c:pt>
                <c:pt idx="71">
                  <c:v>4.1713064890596883</c:v>
                </c:pt>
                <c:pt idx="72">
                  <c:v>3.0814492820305137</c:v>
                </c:pt>
                <c:pt idx="73">
                  <c:v>-0.57042673204354366</c:v>
                </c:pt>
                <c:pt idx="74">
                  <c:v>-0.88886142354828301</c:v>
                </c:pt>
                <c:pt idx="75">
                  <c:v>-1.1555559473347294</c:v>
                </c:pt>
                <c:pt idx="76">
                  <c:v>4.2349234216038658</c:v>
                </c:pt>
                <c:pt idx="77">
                  <c:v>3.7197040972061362</c:v>
                </c:pt>
                <c:pt idx="78">
                  <c:v>1.4042502280079001</c:v>
                </c:pt>
                <c:pt idx="79">
                  <c:v>2.7793878146401294</c:v>
                </c:pt>
                <c:pt idx="80">
                  <c:v>-1.7063278638967669</c:v>
                </c:pt>
                <c:pt idx="81">
                  <c:v>1.3727385994968342</c:v>
                </c:pt>
                <c:pt idx="82">
                  <c:v>1.758473762463588</c:v>
                </c:pt>
                <c:pt idx="83">
                  <c:v>0.29467755939836388</c:v>
                </c:pt>
                <c:pt idx="84">
                  <c:v>-1.9357674185352813</c:v>
                </c:pt>
                <c:pt idx="85">
                  <c:v>0.62762516282825753</c:v>
                </c:pt>
                <c:pt idx="86">
                  <c:v>2.4107909336845004</c:v>
                </c:pt>
                <c:pt idx="87">
                  <c:v>3.5939313760496394</c:v>
                </c:pt>
                <c:pt idx="88">
                  <c:v>3.5471281872592058</c:v>
                </c:pt>
                <c:pt idx="89">
                  <c:v>3.048304391571047</c:v>
                </c:pt>
                <c:pt idx="90">
                  <c:v>-1.0544062572955941</c:v>
                </c:pt>
                <c:pt idx="91">
                  <c:v>2.7592062241121851</c:v>
                </c:pt>
                <c:pt idx="92">
                  <c:v>1.2754170863365852</c:v>
                </c:pt>
                <c:pt idx="93">
                  <c:v>2.9040260787492445</c:v>
                </c:pt>
                <c:pt idx="94">
                  <c:v>3.3948529629583954</c:v>
                </c:pt>
                <c:pt idx="95">
                  <c:v>-3.3431318151230993</c:v>
                </c:pt>
                <c:pt idx="96">
                  <c:v>4.2727774298961796</c:v>
                </c:pt>
                <c:pt idx="97">
                  <c:v>1.3541180519689362</c:v>
                </c:pt>
                <c:pt idx="98">
                  <c:v>0.30019533497747464</c:v>
                </c:pt>
                <c:pt idx="99">
                  <c:v>1.1257274804080926</c:v>
                </c:pt>
                <c:pt idx="100">
                  <c:v>2.9781660832863306</c:v>
                </c:pt>
                <c:pt idx="101">
                  <c:v>1.5839415843550908</c:v>
                </c:pt>
                <c:pt idx="102">
                  <c:v>3.8674815740734392</c:v>
                </c:pt>
                <c:pt idx="103">
                  <c:v>1.4362511649543541</c:v>
                </c:pt>
                <c:pt idx="104">
                  <c:v>4.3096387552989333</c:v>
                </c:pt>
                <c:pt idx="105">
                  <c:v>2.8125875373755322</c:v>
                </c:pt>
                <c:pt idx="106">
                  <c:v>-0.61706221073473144</c:v>
                </c:pt>
                <c:pt idx="107">
                  <c:v>1.04791529005682</c:v>
                </c:pt>
                <c:pt idx="108">
                  <c:v>4.0884507933670537</c:v>
                </c:pt>
                <c:pt idx="109">
                  <c:v>-8.5189723514257507E-2</c:v>
                </c:pt>
                <c:pt idx="110">
                  <c:v>1.3800556151792684</c:v>
                </c:pt>
                <c:pt idx="111">
                  <c:v>-0.7806217036401889</c:v>
                </c:pt>
                <c:pt idx="112">
                  <c:v>-0.82405539923198701</c:v>
                </c:pt>
                <c:pt idx="113">
                  <c:v>-6.4358388760818189E-2</c:v>
                </c:pt>
                <c:pt idx="114">
                  <c:v>5.0239082121696512</c:v>
                </c:pt>
                <c:pt idx="115">
                  <c:v>5.5109696315173951</c:v>
                </c:pt>
                <c:pt idx="116">
                  <c:v>4.0711792825538788</c:v>
                </c:pt>
                <c:pt idx="117">
                  <c:v>-0.97636964584698305</c:v>
                </c:pt>
                <c:pt idx="118">
                  <c:v>2.446753725302909</c:v>
                </c:pt>
                <c:pt idx="119">
                  <c:v>-0.65213511293938364</c:v>
                </c:pt>
                <c:pt idx="120">
                  <c:v>4.4514112231459633</c:v>
                </c:pt>
                <c:pt idx="121">
                  <c:v>1.6512116879707235</c:v>
                </c:pt>
                <c:pt idx="122">
                  <c:v>0.98982188847871233</c:v>
                </c:pt>
                <c:pt idx="123">
                  <c:v>-2.1385232596249035</c:v>
                </c:pt>
                <c:pt idx="124">
                  <c:v>-1.5123586383448058</c:v>
                </c:pt>
                <c:pt idx="125">
                  <c:v>0.54798959132812064</c:v>
                </c:pt>
                <c:pt idx="126">
                  <c:v>5.3473583347029621</c:v>
                </c:pt>
                <c:pt idx="127">
                  <c:v>3.1309233105640586</c:v>
                </c:pt>
                <c:pt idx="128">
                  <c:v>-1.7585082687241269</c:v>
                </c:pt>
                <c:pt idx="129">
                  <c:v>3.9006194077118446</c:v>
                </c:pt>
                <c:pt idx="130">
                  <c:v>-0.93306800953930202</c:v>
                </c:pt>
                <c:pt idx="131">
                  <c:v>3.4748913301073623</c:v>
                </c:pt>
                <c:pt idx="132">
                  <c:v>1.499437658775314</c:v>
                </c:pt>
                <c:pt idx="133">
                  <c:v>3.3858874431885755</c:v>
                </c:pt>
                <c:pt idx="134">
                  <c:v>0.2686258594459438</c:v>
                </c:pt>
                <c:pt idx="135">
                  <c:v>0.35178038030853365</c:v>
                </c:pt>
                <c:pt idx="136">
                  <c:v>-2.5271803778105908</c:v>
                </c:pt>
                <c:pt idx="137">
                  <c:v>4.4240986294774434</c:v>
                </c:pt>
                <c:pt idx="138">
                  <c:v>1.626476483469119</c:v>
                </c:pt>
                <c:pt idx="139">
                  <c:v>3.0358206715476266</c:v>
                </c:pt>
                <c:pt idx="140">
                  <c:v>-1.039801598174301</c:v>
                </c:pt>
                <c:pt idx="141">
                  <c:v>5.184696646153685</c:v>
                </c:pt>
                <c:pt idx="142">
                  <c:v>-1.4227686609126553</c:v>
                </c:pt>
                <c:pt idx="143">
                  <c:v>1.2726720332626791</c:v>
                </c:pt>
                <c:pt idx="144">
                  <c:v>0.89524184637730964</c:v>
                </c:pt>
                <c:pt idx="145">
                  <c:v>1.3491766134171987</c:v>
                </c:pt>
                <c:pt idx="146">
                  <c:v>3.9969401383482484</c:v>
                </c:pt>
                <c:pt idx="147">
                  <c:v>-0.19036128473463695</c:v>
                </c:pt>
                <c:pt idx="148">
                  <c:v>-1.1908448769734779</c:v>
                </c:pt>
                <c:pt idx="149">
                  <c:v>0.26486477699869787</c:v>
                </c:pt>
                <c:pt idx="150">
                  <c:v>-0.55114575611707295</c:v>
                </c:pt>
                <c:pt idx="151">
                  <c:v>-0.8132106978662218</c:v>
                </c:pt>
                <c:pt idx="152">
                  <c:v>-3.4113754790240498</c:v>
                </c:pt>
                <c:pt idx="153">
                  <c:v>-0.14786049877928853</c:v>
                </c:pt>
                <c:pt idx="154">
                  <c:v>0.55237655676625463</c:v>
                </c:pt>
                <c:pt idx="155">
                  <c:v>-0.40933241592877573</c:v>
                </c:pt>
                <c:pt idx="156">
                  <c:v>5.0581191690641427</c:v>
                </c:pt>
                <c:pt idx="157">
                  <c:v>-2.0779330821545012</c:v>
                </c:pt>
                <c:pt idx="158">
                  <c:v>0.88052800774633377</c:v>
                </c:pt>
                <c:pt idx="159">
                  <c:v>0.25096725719237473</c:v>
                </c:pt>
                <c:pt idx="160">
                  <c:v>6.0998987977947321</c:v>
                </c:pt>
                <c:pt idx="161">
                  <c:v>3.6442627618032009</c:v>
                </c:pt>
                <c:pt idx="162">
                  <c:v>-1.6457112825412648</c:v>
                </c:pt>
                <c:pt idx="163">
                  <c:v>-0.72208935268278074</c:v>
                </c:pt>
                <c:pt idx="164">
                  <c:v>2.4097655360135026</c:v>
                </c:pt>
                <c:pt idx="165">
                  <c:v>-0.13819448347534585</c:v>
                </c:pt>
                <c:pt idx="166">
                  <c:v>4.9849480793379248</c:v>
                </c:pt>
                <c:pt idx="167">
                  <c:v>4.8231348214247856</c:v>
                </c:pt>
                <c:pt idx="168">
                  <c:v>3.4587583253804963</c:v>
                </c:pt>
                <c:pt idx="169">
                  <c:v>5.2376528621301182</c:v>
                </c:pt>
                <c:pt idx="170">
                  <c:v>3.981840808483073</c:v>
                </c:pt>
                <c:pt idx="171">
                  <c:v>-0.83636412453965803</c:v>
                </c:pt>
                <c:pt idx="172">
                  <c:v>1.6651843358151586</c:v>
                </c:pt>
                <c:pt idx="173">
                  <c:v>0.87443233027117473</c:v>
                </c:pt>
                <c:pt idx="174">
                  <c:v>0.32201681597002724</c:v>
                </c:pt>
                <c:pt idx="175">
                  <c:v>3.4875269821201327</c:v>
                </c:pt>
                <c:pt idx="176">
                  <c:v>-0.5310553124266727</c:v>
                </c:pt>
                <c:pt idx="177">
                  <c:v>3.9170068069759458</c:v>
                </c:pt>
                <c:pt idx="178">
                  <c:v>4.5465221501864779</c:v>
                </c:pt>
                <c:pt idx="179">
                  <c:v>4.7918578014275548</c:v>
                </c:pt>
                <c:pt idx="180">
                  <c:v>1.0139034380323941</c:v>
                </c:pt>
                <c:pt idx="181">
                  <c:v>3.3272773916119922</c:v>
                </c:pt>
                <c:pt idx="182">
                  <c:v>-0.11277154017269274</c:v>
                </c:pt>
                <c:pt idx="183">
                  <c:v>4.5145111241462796</c:v>
                </c:pt>
                <c:pt idx="184">
                  <c:v>4.7975347867094147</c:v>
                </c:pt>
                <c:pt idx="185">
                  <c:v>0.58655011178910677</c:v>
                </c:pt>
                <c:pt idx="186">
                  <c:v>-2.1522638792174011</c:v>
                </c:pt>
                <c:pt idx="187">
                  <c:v>-1.7596854006777518</c:v>
                </c:pt>
                <c:pt idx="188">
                  <c:v>2.7894285111181136</c:v>
                </c:pt>
                <c:pt idx="189">
                  <c:v>-2.9993657722153437</c:v>
                </c:pt>
                <c:pt idx="190">
                  <c:v>-0.76307276941717617</c:v>
                </c:pt>
                <c:pt idx="191">
                  <c:v>-1.7386131436974006</c:v>
                </c:pt>
                <c:pt idx="192">
                  <c:v>4.1289946796011883</c:v>
                </c:pt>
                <c:pt idx="193">
                  <c:v>0.84246741127641256</c:v>
                </c:pt>
                <c:pt idx="194">
                  <c:v>1.6278445600284628</c:v>
                </c:pt>
                <c:pt idx="195">
                  <c:v>1.8052475720999275</c:v>
                </c:pt>
                <c:pt idx="196">
                  <c:v>2.288312007809215</c:v>
                </c:pt>
                <c:pt idx="197">
                  <c:v>-0.32776001250539349</c:v>
                </c:pt>
                <c:pt idx="198">
                  <c:v>-0.11496757297565079</c:v>
                </c:pt>
                <c:pt idx="199">
                  <c:v>-1.7516671348184694</c:v>
                </c:pt>
                <c:pt idx="200">
                  <c:v>-1.0684217423101203</c:v>
                </c:pt>
                <c:pt idx="201">
                  <c:v>4.1675166961522496</c:v>
                </c:pt>
                <c:pt idx="202">
                  <c:v>0.85712401335151422</c:v>
                </c:pt>
                <c:pt idx="203">
                  <c:v>3.9037424887153902</c:v>
                </c:pt>
                <c:pt idx="204">
                  <c:v>1.4464757489049129</c:v>
                </c:pt>
                <c:pt idx="205">
                  <c:v>0.5380811640737091</c:v>
                </c:pt>
                <c:pt idx="206">
                  <c:v>0.50902947081818939</c:v>
                </c:pt>
                <c:pt idx="207">
                  <c:v>3.977009860413057</c:v>
                </c:pt>
                <c:pt idx="208">
                  <c:v>2.0817972089729606</c:v>
                </c:pt>
                <c:pt idx="209">
                  <c:v>-2.1609531679952894</c:v>
                </c:pt>
                <c:pt idx="210">
                  <c:v>4.3702712511337918</c:v>
                </c:pt>
                <c:pt idx="211">
                  <c:v>-0.41050352320463801</c:v>
                </c:pt>
                <c:pt idx="212">
                  <c:v>-6.2618266178431109E-2</c:v>
                </c:pt>
                <c:pt idx="213">
                  <c:v>0.17055775205909454</c:v>
                </c:pt>
                <c:pt idx="214">
                  <c:v>4.5383816839770184</c:v>
                </c:pt>
                <c:pt idx="215">
                  <c:v>4.4589369634863525</c:v>
                </c:pt>
                <c:pt idx="216">
                  <c:v>3.0033007163026428</c:v>
                </c:pt>
                <c:pt idx="217">
                  <c:v>-2.7989657496382931</c:v>
                </c:pt>
                <c:pt idx="218">
                  <c:v>1.5410409685679289E-2</c:v>
                </c:pt>
                <c:pt idx="219">
                  <c:v>2.5147347693945865</c:v>
                </c:pt>
                <c:pt idx="220">
                  <c:v>3.4621434231754362</c:v>
                </c:pt>
                <c:pt idx="221">
                  <c:v>-0.74486570444635003</c:v>
                </c:pt>
                <c:pt idx="222">
                  <c:v>-2.9725137044829695</c:v>
                </c:pt>
                <c:pt idx="223">
                  <c:v>0.9774695388222977</c:v>
                </c:pt>
                <c:pt idx="224">
                  <c:v>3.724467613899745</c:v>
                </c:pt>
                <c:pt idx="225">
                  <c:v>3.0102851023385737</c:v>
                </c:pt>
                <c:pt idx="226">
                  <c:v>-7.5859515060672456E-2</c:v>
                </c:pt>
                <c:pt idx="227">
                  <c:v>3.7814952237381476</c:v>
                </c:pt>
                <c:pt idx="228">
                  <c:v>1.9405189585381177</c:v>
                </c:pt>
                <c:pt idx="229">
                  <c:v>-2.0338773306604985</c:v>
                </c:pt>
                <c:pt idx="230">
                  <c:v>-0.78101516821743877</c:v>
                </c:pt>
                <c:pt idx="231">
                  <c:v>3.9216349477641197</c:v>
                </c:pt>
                <c:pt idx="232">
                  <c:v>0.33204188270264484</c:v>
                </c:pt>
                <c:pt idx="233">
                  <c:v>-0.34524879174840428</c:v>
                </c:pt>
                <c:pt idx="234">
                  <c:v>4.42327118088979</c:v>
                </c:pt>
                <c:pt idx="235">
                  <c:v>-1.2732597089994684</c:v>
                </c:pt>
                <c:pt idx="236">
                  <c:v>0.8844860001229764</c:v>
                </c:pt>
                <c:pt idx="237">
                  <c:v>-1.4683558503922682</c:v>
                </c:pt>
                <c:pt idx="238">
                  <c:v>-0.34032092828903077</c:v>
                </c:pt>
                <c:pt idx="239">
                  <c:v>-2.3522224014457014</c:v>
                </c:pt>
                <c:pt idx="240">
                  <c:v>3.8673859093733296</c:v>
                </c:pt>
                <c:pt idx="241">
                  <c:v>2.849238927088138</c:v>
                </c:pt>
                <c:pt idx="242">
                  <c:v>1.8960232341435108</c:v>
                </c:pt>
                <c:pt idx="243">
                  <c:v>-0.97306885368273188</c:v>
                </c:pt>
                <c:pt idx="244">
                  <c:v>3.7837584559240272</c:v>
                </c:pt>
                <c:pt idx="245">
                  <c:v>-1.9650333445703696</c:v>
                </c:pt>
                <c:pt idx="246">
                  <c:v>0.47569195451308516</c:v>
                </c:pt>
                <c:pt idx="247">
                  <c:v>0.45808642542676659</c:v>
                </c:pt>
                <c:pt idx="248">
                  <c:v>-1.3188044339446638</c:v>
                </c:pt>
                <c:pt idx="249">
                  <c:v>3.0932403601006069</c:v>
                </c:pt>
                <c:pt idx="250">
                  <c:v>3.5447496577076083</c:v>
                </c:pt>
                <c:pt idx="251">
                  <c:v>1.3969072789912724</c:v>
                </c:pt>
                <c:pt idx="252">
                  <c:v>8.4981925039228093E-2</c:v>
                </c:pt>
                <c:pt idx="253">
                  <c:v>-1.0757640103834063</c:v>
                </c:pt>
                <c:pt idx="254">
                  <c:v>2.3477059842388925</c:v>
                </c:pt>
                <c:pt idx="255">
                  <c:v>-0.94749218989137152</c:v>
                </c:pt>
                <c:pt idx="256">
                  <c:v>-1.700717195856366</c:v>
                </c:pt>
                <c:pt idx="257">
                  <c:v>2.5132944957930667</c:v>
                </c:pt>
                <c:pt idx="258">
                  <c:v>-9.3572702893365958E-2</c:v>
                </c:pt>
                <c:pt idx="259">
                  <c:v>2.8292502336144132</c:v>
                </c:pt>
                <c:pt idx="260">
                  <c:v>-0.54072638466616718</c:v>
                </c:pt>
                <c:pt idx="261">
                  <c:v>4.4061278782140247</c:v>
                </c:pt>
                <c:pt idx="262">
                  <c:v>-1.7167646852384453</c:v>
                </c:pt>
                <c:pt idx="263">
                  <c:v>-1.431643816514331</c:v>
                </c:pt>
                <c:pt idx="264">
                  <c:v>2.068137222276019</c:v>
                </c:pt>
                <c:pt idx="265">
                  <c:v>0.20072063837898915</c:v>
                </c:pt>
                <c:pt idx="266">
                  <c:v>0.16511906721308889</c:v>
                </c:pt>
                <c:pt idx="267">
                  <c:v>0.56780558761981503</c:v>
                </c:pt>
                <c:pt idx="268">
                  <c:v>0.29575920359097557</c:v>
                </c:pt>
                <c:pt idx="269">
                  <c:v>-4.0865190763035146</c:v>
                </c:pt>
                <c:pt idx="270">
                  <c:v>0.62610708089233547</c:v>
                </c:pt>
                <c:pt idx="271">
                  <c:v>3.9197647860031193</c:v>
                </c:pt>
                <c:pt idx="272">
                  <c:v>6.1771517424476832</c:v>
                </c:pt>
                <c:pt idx="273">
                  <c:v>1.9662948141294796</c:v>
                </c:pt>
                <c:pt idx="274">
                  <c:v>-4.1865763696262374E-2</c:v>
                </c:pt>
                <c:pt idx="275">
                  <c:v>2.8487322985513321</c:v>
                </c:pt>
                <c:pt idx="276">
                  <c:v>3.714549393985402</c:v>
                </c:pt>
                <c:pt idx="277">
                  <c:v>-4.4583196547013095</c:v>
                </c:pt>
                <c:pt idx="278">
                  <c:v>4.5099980458164044</c:v>
                </c:pt>
                <c:pt idx="279">
                  <c:v>0.14197339601296494</c:v>
                </c:pt>
                <c:pt idx="280">
                  <c:v>1.5850095013623631</c:v>
                </c:pt>
                <c:pt idx="281">
                  <c:v>0.12955206210796763</c:v>
                </c:pt>
                <c:pt idx="282">
                  <c:v>1.3468381718972386</c:v>
                </c:pt>
                <c:pt idx="283">
                  <c:v>0.98074853900273284</c:v>
                </c:pt>
                <c:pt idx="284">
                  <c:v>0.87935340367172454</c:v>
                </c:pt>
                <c:pt idx="285">
                  <c:v>-0.99466471214221697</c:v>
                </c:pt>
                <c:pt idx="286">
                  <c:v>7.2229488726201371E-2</c:v>
                </c:pt>
                <c:pt idx="287">
                  <c:v>-0.67301561661501041</c:v>
                </c:pt>
                <c:pt idx="288">
                  <c:v>-0.88820528715102087</c:v>
                </c:pt>
                <c:pt idx="289">
                  <c:v>0.61707043394869954</c:v>
                </c:pt>
                <c:pt idx="290">
                  <c:v>4.1151210647659759</c:v>
                </c:pt>
                <c:pt idx="291">
                  <c:v>4.5148329184851672</c:v>
                </c:pt>
                <c:pt idx="292">
                  <c:v>4.7556817865377186</c:v>
                </c:pt>
                <c:pt idx="293">
                  <c:v>3.5111965572497081</c:v>
                </c:pt>
                <c:pt idx="294">
                  <c:v>-0.80244018513936421</c:v>
                </c:pt>
                <c:pt idx="295">
                  <c:v>5.0893899042093977</c:v>
                </c:pt>
                <c:pt idx="296">
                  <c:v>3.6872643588042484</c:v>
                </c:pt>
                <c:pt idx="297">
                  <c:v>2.8744647716637548</c:v>
                </c:pt>
                <c:pt idx="298">
                  <c:v>2.6981314604052349</c:v>
                </c:pt>
                <c:pt idx="299">
                  <c:v>1.2168058347753661</c:v>
                </c:pt>
                <c:pt idx="300">
                  <c:v>-3.4616367652045708</c:v>
                </c:pt>
                <c:pt idx="301">
                  <c:v>-3.323171294596388</c:v>
                </c:pt>
                <c:pt idx="302">
                  <c:v>-3.1847058239882049</c:v>
                </c:pt>
                <c:pt idx="303">
                  <c:v>-3.0462403533800222</c:v>
                </c:pt>
                <c:pt idx="304">
                  <c:v>-2.9077748827718395</c:v>
                </c:pt>
                <c:pt idx="305">
                  <c:v>-2.7693094121636568</c:v>
                </c:pt>
                <c:pt idx="306">
                  <c:v>-2.6308439415554736</c:v>
                </c:pt>
                <c:pt idx="307">
                  <c:v>-2.4923784709472909</c:v>
                </c:pt>
                <c:pt idx="308">
                  <c:v>-2.3539130003391082</c:v>
                </c:pt>
                <c:pt idx="309">
                  <c:v>-2.2154475297309251</c:v>
                </c:pt>
                <c:pt idx="310">
                  <c:v>-2.0769820591227424</c:v>
                </c:pt>
                <c:pt idx="311">
                  <c:v>-1.9385165885145597</c:v>
                </c:pt>
                <c:pt idx="312">
                  <c:v>-1.8000511179063767</c:v>
                </c:pt>
                <c:pt idx="313">
                  <c:v>-1.661585647298194</c:v>
                </c:pt>
                <c:pt idx="314">
                  <c:v>-1.5231201766900111</c:v>
                </c:pt>
                <c:pt idx="315">
                  <c:v>-1.3846547060818284</c:v>
                </c:pt>
                <c:pt idx="316">
                  <c:v>-1.2461892354736457</c:v>
                </c:pt>
                <c:pt idx="317">
                  <c:v>-1.1077237648654625</c:v>
                </c:pt>
                <c:pt idx="318">
                  <c:v>-0.96925829425727983</c:v>
                </c:pt>
                <c:pt idx="319">
                  <c:v>-0.83079282364909668</c:v>
                </c:pt>
                <c:pt idx="320">
                  <c:v>-0.69232735304091397</c:v>
                </c:pt>
                <c:pt idx="321">
                  <c:v>-0.55386188243273171</c:v>
                </c:pt>
                <c:pt idx="322">
                  <c:v>-0.41539641182454856</c:v>
                </c:pt>
                <c:pt idx="323">
                  <c:v>-0.27693094121636586</c:v>
                </c:pt>
                <c:pt idx="324">
                  <c:v>-0.13846547060818271</c:v>
                </c:pt>
                <c:pt idx="325">
                  <c:v>0</c:v>
                </c:pt>
                <c:pt idx="326">
                  <c:v>0.13846547060818271</c:v>
                </c:pt>
                <c:pt idx="327">
                  <c:v>0.27693094121636541</c:v>
                </c:pt>
                <c:pt idx="328">
                  <c:v>0.41539641182454856</c:v>
                </c:pt>
                <c:pt idx="329">
                  <c:v>0.55386188243273127</c:v>
                </c:pt>
                <c:pt idx="330">
                  <c:v>0.69232735304091397</c:v>
                </c:pt>
                <c:pt idx="331">
                  <c:v>0.83079282364909668</c:v>
                </c:pt>
                <c:pt idx="332">
                  <c:v>0.96925829425727938</c:v>
                </c:pt>
                <c:pt idx="333">
                  <c:v>1.107723764865463</c:v>
                </c:pt>
                <c:pt idx="334">
                  <c:v>1.2461892354736457</c:v>
                </c:pt>
                <c:pt idx="335">
                  <c:v>1.3846547060818284</c:v>
                </c:pt>
                <c:pt idx="336">
                  <c:v>1.5231201766900111</c:v>
                </c:pt>
                <c:pt idx="337">
                  <c:v>1.6615856472981938</c:v>
                </c:pt>
                <c:pt idx="338">
                  <c:v>1.8000511179063774</c:v>
                </c:pt>
                <c:pt idx="339">
                  <c:v>1.9385165885145592</c:v>
                </c:pt>
                <c:pt idx="340">
                  <c:v>2.0769820591227428</c:v>
                </c:pt>
                <c:pt idx="341">
                  <c:v>2.2154475297309255</c:v>
                </c:pt>
                <c:pt idx="342">
                  <c:v>2.3539130003391073</c:v>
                </c:pt>
                <c:pt idx="343">
                  <c:v>2.4923784709472909</c:v>
                </c:pt>
                <c:pt idx="344">
                  <c:v>2.6308439415554736</c:v>
                </c:pt>
                <c:pt idx="345">
                  <c:v>2.7693094121636572</c:v>
                </c:pt>
                <c:pt idx="346">
                  <c:v>2.907774882771839</c:v>
                </c:pt>
                <c:pt idx="347">
                  <c:v>3.0462403533800217</c:v>
                </c:pt>
                <c:pt idx="348">
                  <c:v>3.1847058239882053</c:v>
                </c:pt>
                <c:pt idx="349">
                  <c:v>3.323171294596388</c:v>
                </c:pt>
                <c:pt idx="350">
                  <c:v>3.4616367652045716</c:v>
                </c:pt>
                <c:pt idx="351">
                  <c:v>1.5522531693191839</c:v>
                </c:pt>
                <c:pt idx="352">
                  <c:v>1.6501630425464167</c:v>
                </c:pt>
                <c:pt idx="353">
                  <c:v>1.748072915773649</c:v>
                </c:pt>
                <c:pt idx="354">
                  <c:v>1.8459827890008818</c:v>
                </c:pt>
                <c:pt idx="355">
                  <c:v>1.9438926622281145</c:v>
                </c:pt>
                <c:pt idx="356">
                  <c:v>2.0418025354553473</c:v>
                </c:pt>
                <c:pt idx="357">
                  <c:v>2.1397124086825796</c:v>
                </c:pt>
                <c:pt idx="358">
                  <c:v>2.2376222819098124</c:v>
                </c:pt>
                <c:pt idx="359">
                  <c:v>2.3355321551370452</c:v>
                </c:pt>
                <c:pt idx="360">
                  <c:v>2.4334420283642775</c:v>
                </c:pt>
                <c:pt idx="361">
                  <c:v>2.5313519015915102</c:v>
                </c:pt>
                <c:pt idx="362">
                  <c:v>2.629261774818743</c:v>
                </c:pt>
                <c:pt idx="363">
                  <c:v>2.7271716480459753</c:v>
                </c:pt>
                <c:pt idx="364">
                  <c:v>2.8250815212732086</c:v>
                </c:pt>
                <c:pt idx="365">
                  <c:v>2.9229913945004409</c:v>
                </c:pt>
                <c:pt idx="366">
                  <c:v>3.0209012677276736</c:v>
                </c:pt>
                <c:pt idx="367">
                  <c:v>3.1188111409549064</c:v>
                </c:pt>
                <c:pt idx="368">
                  <c:v>3.2167210141821387</c:v>
                </c:pt>
                <c:pt idx="369">
                  <c:v>3.3146308874093715</c:v>
                </c:pt>
                <c:pt idx="370">
                  <c:v>3.4125407606366043</c:v>
                </c:pt>
                <c:pt idx="371">
                  <c:v>3.5104506338638366</c:v>
                </c:pt>
                <c:pt idx="372">
                  <c:v>3.6083605070910694</c:v>
                </c:pt>
                <c:pt idx="373">
                  <c:v>3.7062703803183021</c:v>
                </c:pt>
                <c:pt idx="374">
                  <c:v>3.8041802535455349</c:v>
                </c:pt>
                <c:pt idx="375">
                  <c:v>3.9020901267727672</c:v>
                </c:pt>
                <c:pt idx="376">
                  <c:v>4</c:v>
                </c:pt>
                <c:pt idx="377">
                  <c:v>4.0979098732272323</c:v>
                </c:pt>
                <c:pt idx="378">
                  <c:v>4.1958197464544646</c:v>
                </c:pt>
                <c:pt idx="379">
                  <c:v>4.2937296196816979</c:v>
                </c:pt>
                <c:pt idx="380">
                  <c:v>4.3916394929089302</c:v>
                </c:pt>
                <c:pt idx="381">
                  <c:v>4.4895493661361634</c:v>
                </c:pt>
                <c:pt idx="382">
                  <c:v>4.5874592393633957</c:v>
                </c:pt>
                <c:pt idx="383">
                  <c:v>4.685369112590628</c:v>
                </c:pt>
                <c:pt idx="384">
                  <c:v>4.7832789858178613</c:v>
                </c:pt>
                <c:pt idx="385">
                  <c:v>4.8811888590450936</c:v>
                </c:pt>
                <c:pt idx="386">
                  <c:v>4.9790987322723268</c:v>
                </c:pt>
                <c:pt idx="387">
                  <c:v>5.0770086054995591</c:v>
                </c:pt>
                <c:pt idx="388">
                  <c:v>5.1749184787267914</c:v>
                </c:pt>
                <c:pt idx="389">
                  <c:v>5.2728283519540238</c:v>
                </c:pt>
                <c:pt idx="390">
                  <c:v>5.370738225181257</c:v>
                </c:pt>
                <c:pt idx="391">
                  <c:v>5.4686480984084902</c:v>
                </c:pt>
                <c:pt idx="392">
                  <c:v>5.5665579716357225</c:v>
                </c:pt>
                <c:pt idx="393">
                  <c:v>5.6644678448629548</c:v>
                </c:pt>
                <c:pt idx="394">
                  <c:v>5.7623777180901872</c:v>
                </c:pt>
                <c:pt idx="395">
                  <c:v>5.8602875913174204</c:v>
                </c:pt>
                <c:pt idx="396">
                  <c:v>5.9581974645446527</c:v>
                </c:pt>
                <c:pt idx="397">
                  <c:v>6.0561073377718859</c:v>
                </c:pt>
                <c:pt idx="398">
                  <c:v>6.1540172109991182</c:v>
                </c:pt>
                <c:pt idx="399">
                  <c:v>6.2519270842263506</c:v>
                </c:pt>
                <c:pt idx="400">
                  <c:v>6.3498369574535838</c:v>
                </c:pt>
                <c:pt idx="401">
                  <c:v>6.4477468306808161</c:v>
                </c:pt>
              </c:numCache>
            </c:numRef>
          </c:xVal>
          <c:yVal>
            <c:numRef>
              <c:f>'Simulation data'!$G$21:$G$422</c:f>
              <c:numCache>
                <c:formatCode>General</c:formatCode>
                <c:ptCount val="402"/>
                <c:pt idx="0">
                  <c:v>#N/A</c:v>
                </c:pt>
                <c:pt idx="1">
                  <c:v>3.2142563400921889</c:v>
                </c:pt>
                <c:pt idx="2">
                  <c:v>3.8684482744273176</c:v>
                </c:pt>
                <c:pt idx="3">
                  <c:v>1.2921021824567904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3.1028547974440408</c:v>
                </c:pt>
                <c:pt idx="10">
                  <c:v>#N/A</c:v>
                </c:pt>
                <c:pt idx="11">
                  <c:v>4.748526941024064</c:v>
                </c:pt>
                <c:pt idx="12">
                  <c:v>#N/A</c:v>
                </c:pt>
                <c:pt idx="13">
                  <c:v>#N/A</c:v>
                </c:pt>
                <c:pt idx="14">
                  <c:v>5.5760379095523369</c:v>
                </c:pt>
                <c:pt idx="15">
                  <c:v>#N/A</c:v>
                </c:pt>
                <c:pt idx="16">
                  <c:v>3.1461149255680692</c:v>
                </c:pt>
                <c:pt idx="17">
                  <c:v>3.5738992225995521</c:v>
                </c:pt>
                <c:pt idx="18">
                  <c:v>3.425018562710973</c:v>
                </c:pt>
                <c:pt idx="19">
                  <c:v>4.4237030427098842</c:v>
                </c:pt>
                <c:pt idx="20">
                  <c:v>#N/A</c:v>
                </c:pt>
                <c:pt idx="21">
                  <c:v>#N/A</c:v>
                </c:pt>
                <c:pt idx="22">
                  <c:v>2.6785734693164667</c:v>
                </c:pt>
                <c:pt idx="23">
                  <c:v>5.1524801769849446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4.1985185778780938</c:v>
                </c:pt>
                <c:pt idx="29">
                  <c:v>#N/A</c:v>
                </c:pt>
                <c:pt idx="30">
                  <c:v>3.1855024765695266</c:v>
                </c:pt>
                <c:pt idx="31">
                  <c:v>1.3679160461373217</c:v>
                </c:pt>
                <c:pt idx="32">
                  <c:v>3.8974874503899573</c:v>
                </c:pt>
                <c:pt idx="33">
                  <c:v>#N/A</c:v>
                </c:pt>
                <c:pt idx="34">
                  <c:v>#N/A</c:v>
                </c:pt>
                <c:pt idx="35">
                  <c:v>4.3688033661675227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5.2606819672534417</c:v>
                </c:pt>
                <c:pt idx="42">
                  <c:v>#N/A</c:v>
                </c:pt>
                <c:pt idx="43">
                  <c:v>#N/A</c:v>
                </c:pt>
                <c:pt idx="44">
                  <c:v>3.5961400546947822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2.1850190542708461</c:v>
                </c:pt>
                <c:pt idx="50">
                  <c:v>#N/A</c:v>
                </c:pt>
                <c:pt idx="51">
                  <c:v>#N/A</c:v>
                </c:pt>
                <c:pt idx="52">
                  <c:v>4.7766640512388481</c:v>
                </c:pt>
                <c:pt idx="53">
                  <c:v>6.1331769532499552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2.8830059806354233</c:v>
                </c:pt>
                <c:pt idx="59">
                  <c:v>#N/A</c:v>
                </c:pt>
                <c:pt idx="60">
                  <c:v>#N/A</c:v>
                </c:pt>
                <c:pt idx="61">
                  <c:v>6.7823012930718054</c:v>
                </c:pt>
                <c:pt idx="62">
                  <c:v>#N/A</c:v>
                </c:pt>
                <c:pt idx="63">
                  <c:v>1.5333432211195839</c:v>
                </c:pt>
                <c:pt idx="64">
                  <c:v>3.7479071017940528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4.7550497626000876</c:v>
                </c:pt>
                <c:pt idx="71">
                  <c:v>1.9903505161376875</c:v>
                </c:pt>
                <c:pt idx="72">
                  <c:v>3.3625703130538813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2.5973927306807734</c:v>
                </c:pt>
                <c:pt idx="77">
                  <c:v>6.2666987934757064</c:v>
                </c:pt>
                <c:pt idx="78">
                  <c:v>#N/A</c:v>
                </c:pt>
                <c:pt idx="79">
                  <c:v>2.7661181993242474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6.0754536999499269</c:v>
                </c:pt>
                <c:pt idx="88">
                  <c:v>3.3966380374410075</c:v>
                </c:pt>
                <c:pt idx="89">
                  <c:v>#N/A</c:v>
                </c:pt>
                <c:pt idx="90">
                  <c:v>#N/A</c:v>
                </c:pt>
                <c:pt idx="91">
                  <c:v>4.4592335752112486</c:v>
                </c:pt>
                <c:pt idx="92">
                  <c:v>#N/A</c:v>
                </c:pt>
                <c:pt idx="93">
                  <c:v>#N/A</c:v>
                </c:pt>
                <c:pt idx="94">
                  <c:v>2.1759691320742043</c:v>
                </c:pt>
                <c:pt idx="95">
                  <c:v>#N/A</c:v>
                </c:pt>
                <c:pt idx="96">
                  <c:v>4.3584608374435421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1.5868166604329854</c:v>
                </c:pt>
                <c:pt idx="101">
                  <c:v>#N/A</c:v>
                </c:pt>
                <c:pt idx="102">
                  <c:v>5.4598802498233985</c:v>
                </c:pt>
                <c:pt idx="103">
                  <c:v>#N/A</c:v>
                </c:pt>
                <c:pt idx="104">
                  <c:v>5.1193585059236977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4.745612263498205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3.8636525078507122</c:v>
                </c:pt>
                <c:pt idx="115">
                  <c:v>5.5840893322411826</c:v>
                </c:pt>
                <c:pt idx="116">
                  <c:v>5.4113749620408118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3.4398046120375452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6.1925983225616816</c:v>
                </c:pt>
                <c:pt idx="127">
                  <c:v>2.9289546314728963</c:v>
                </c:pt>
                <c:pt idx="128">
                  <c:v>#N/A</c:v>
                </c:pt>
                <c:pt idx="129">
                  <c:v>3.6506486576802244</c:v>
                </c:pt>
                <c:pt idx="130">
                  <c:v>#N/A</c:v>
                </c:pt>
                <c:pt idx="131">
                  <c:v>1.0614032807271991</c:v>
                </c:pt>
                <c:pt idx="132">
                  <c:v>#N/A</c:v>
                </c:pt>
                <c:pt idx="133">
                  <c:v>6.3678415114537206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2.9400003964853676</c:v>
                </c:pt>
                <c:pt idx="138">
                  <c:v>#N/A</c:v>
                </c:pt>
                <c:pt idx="139">
                  <c:v>4.1771814679894641</c:v>
                </c:pt>
                <c:pt idx="140">
                  <c:v>#N/A</c:v>
                </c:pt>
                <c:pt idx="141">
                  <c:v>2.4792503921964006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2.5448927870129605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2.5922274012428272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6.6543401448430952</c:v>
                </c:pt>
                <c:pt idx="161">
                  <c:v>4.1636672674014887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3.66800077967341</c:v>
                </c:pt>
                <c:pt idx="167">
                  <c:v>3.6736901328310103</c:v>
                </c:pt>
                <c:pt idx="168">
                  <c:v>3.3846527532255415</c:v>
                </c:pt>
                <c:pt idx="169">
                  <c:v>2.6956770032203656</c:v>
                </c:pt>
                <c:pt idx="170">
                  <c:v>5.7444246633067122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2.425685685839178</c:v>
                </c:pt>
                <c:pt idx="176">
                  <c:v>#N/A</c:v>
                </c:pt>
                <c:pt idx="177">
                  <c:v>4.4481118341544166</c:v>
                </c:pt>
                <c:pt idx="178">
                  <c:v>5.3229237836293271</c:v>
                </c:pt>
                <c:pt idx="179">
                  <c:v>3.9465030929073421</c:v>
                </c:pt>
                <c:pt idx="180">
                  <c:v>#N/A</c:v>
                </c:pt>
                <c:pt idx="181">
                  <c:v>4.6027790764124674</c:v>
                </c:pt>
                <c:pt idx="182">
                  <c:v>#N/A</c:v>
                </c:pt>
                <c:pt idx="183">
                  <c:v>4.4496714511805227</c:v>
                </c:pt>
                <c:pt idx="184">
                  <c:v>4.5111732199359507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2.6698404171319963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5.0254049357632455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5.1950174394799919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2.3355361563267674</c:v>
                </c:pt>
                <c:pt idx="202">
                  <c:v>#N/A</c:v>
                </c:pt>
                <c:pt idx="203">
                  <c:v>5.2466349462883421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4.1498096001470968</c:v>
                </c:pt>
                <c:pt idx="208">
                  <c:v>#N/A</c:v>
                </c:pt>
                <c:pt idx="209">
                  <c:v>#N/A</c:v>
                </c:pt>
                <c:pt idx="210">
                  <c:v>2.2135463892783753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5.2667699745261052</c:v>
                </c:pt>
                <c:pt idx="215">
                  <c:v>2.9194415455118436</c:v>
                </c:pt>
                <c:pt idx="216">
                  <c:v>2.9788318329256351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2.7275734846333619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4.3282449375996341</c:v>
                </c:pt>
                <c:pt idx="225">
                  <c:v>2.0550423751743478</c:v>
                </c:pt>
                <c:pt idx="226">
                  <c:v>#N/A</c:v>
                </c:pt>
                <c:pt idx="227">
                  <c:v>3.0873338918488669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4.9023124216509801</c:v>
                </c:pt>
                <c:pt idx="232">
                  <c:v>#N/A</c:v>
                </c:pt>
                <c:pt idx="233">
                  <c:v>#N/A</c:v>
                </c:pt>
                <c:pt idx="234">
                  <c:v>1.1795911903684955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3.3409246339002148</c:v>
                </c:pt>
                <c:pt idx="241">
                  <c:v>3.0999652848136714</c:v>
                </c:pt>
                <c:pt idx="242">
                  <c:v>2.1043259027750745</c:v>
                </c:pt>
                <c:pt idx="243">
                  <c:v>#N/A</c:v>
                </c:pt>
                <c:pt idx="244">
                  <c:v>2.9378745473502246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5.6360317963780506</c:v>
                </c:pt>
                <c:pt idx="250">
                  <c:v>4.5054388640530636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6.0642501227261523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5.004967786228943</c:v>
                </c:pt>
                <c:pt idx="260">
                  <c:v>#N/A</c:v>
                </c:pt>
                <c:pt idx="261">
                  <c:v>5.7649803565673885</c:v>
                </c:pt>
                <c:pt idx="262">
                  <c:v>#N/A</c:v>
                </c:pt>
                <c:pt idx="263">
                  <c:v>#N/A</c:v>
                </c:pt>
                <c:pt idx="264">
                  <c:v>4.2257780074675075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5.0677827481439097</c:v>
                </c:pt>
                <c:pt idx="272">
                  <c:v>6.4074433190179194</c:v>
                </c:pt>
                <c:pt idx="273">
                  <c:v>#N/A</c:v>
                </c:pt>
                <c:pt idx="274">
                  <c:v>#N/A</c:v>
                </c:pt>
                <c:pt idx="275">
                  <c:v>2.1159045742260911</c:v>
                </c:pt>
                <c:pt idx="276">
                  <c:v>2.684270026781137</c:v>
                </c:pt>
                <c:pt idx="277">
                  <c:v>#N/A</c:v>
                </c:pt>
                <c:pt idx="278">
                  <c:v>2.5712336451983013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2.0282783498363215</c:v>
                </c:pt>
                <c:pt idx="291">
                  <c:v>3.0805582657080723</c:v>
                </c:pt>
                <c:pt idx="292">
                  <c:v>4.4246084282189999</c:v>
                </c:pt>
                <c:pt idx="293">
                  <c:v>3.6276580884714211</c:v>
                </c:pt>
                <c:pt idx="294">
                  <c:v>#N/A</c:v>
                </c:pt>
                <c:pt idx="295">
                  <c:v>5.3848441332108745</c:v>
                </c:pt>
                <c:pt idx="296">
                  <c:v>#N/A</c:v>
                </c:pt>
                <c:pt idx="297">
                  <c:v>2.7812783278264406</c:v>
                </c:pt>
                <c:pt idx="298">
                  <c:v>3.2621215656806242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31936"/>
        <c:axId val="49947392"/>
      </c:scatterChart>
      <c:scatterChart>
        <c:scatterStyle val="smoothMarker"/>
        <c:varyColors val="0"/>
        <c:ser>
          <c:idx val="2"/>
          <c:order val="2"/>
          <c:tx>
            <c:strRef>
              <c:f>'Simulation data'!$H$20</c:f>
              <c:strCache>
                <c:ptCount val="1"/>
                <c:pt idx="0">
                  <c:v>Ellipsoid.1a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'Simulation data'!$C$21:$C$422</c:f>
              <c:numCache>
                <c:formatCode>General</c:formatCode>
                <c:ptCount val="402"/>
                <c:pt idx="0">
                  <c:v>-2.1458090045514067</c:v>
                </c:pt>
                <c:pt idx="1">
                  <c:v>3.2321360045660699</c:v>
                </c:pt>
                <c:pt idx="2">
                  <c:v>4.9401718757169304</c:v>
                </c:pt>
                <c:pt idx="3">
                  <c:v>3.8101809249088845</c:v>
                </c:pt>
                <c:pt idx="4">
                  <c:v>-4.9145426282480267E-2</c:v>
                </c:pt>
                <c:pt idx="5">
                  <c:v>-2.5228432546258131E-2</c:v>
                </c:pt>
                <c:pt idx="6">
                  <c:v>-0.29220078622149359</c:v>
                </c:pt>
                <c:pt idx="7">
                  <c:v>0.49613641368855654</c:v>
                </c:pt>
                <c:pt idx="8">
                  <c:v>-0.56473713272988635</c:v>
                </c:pt>
                <c:pt idx="9">
                  <c:v>4.2390780799608194</c:v>
                </c:pt>
                <c:pt idx="10">
                  <c:v>-1.1607911976569065</c:v>
                </c:pt>
                <c:pt idx="11">
                  <c:v>4.3915782617710164</c:v>
                </c:pt>
                <c:pt idx="12">
                  <c:v>-1.6970819022287003</c:v>
                </c:pt>
                <c:pt idx="13">
                  <c:v>-1.1039833758771549</c:v>
                </c:pt>
                <c:pt idx="14">
                  <c:v>3.8594640680730765</c:v>
                </c:pt>
                <c:pt idx="15">
                  <c:v>-1.5888254252359202</c:v>
                </c:pt>
                <c:pt idx="16">
                  <c:v>3.1700254907721344</c:v>
                </c:pt>
                <c:pt idx="17">
                  <c:v>4.5703129876344226</c:v>
                </c:pt>
                <c:pt idx="18">
                  <c:v>3.5076650710607127</c:v>
                </c:pt>
                <c:pt idx="19">
                  <c:v>4.5448847299734689</c:v>
                </c:pt>
                <c:pt idx="20">
                  <c:v>0.62275887877545733</c:v>
                </c:pt>
                <c:pt idx="21">
                  <c:v>-2.8518153123804284</c:v>
                </c:pt>
                <c:pt idx="22">
                  <c:v>3.3959342300941153</c:v>
                </c:pt>
                <c:pt idx="23">
                  <c:v>4.8282492711948386</c:v>
                </c:pt>
                <c:pt idx="24">
                  <c:v>-2.4425088894226077</c:v>
                </c:pt>
                <c:pt idx="25">
                  <c:v>-1.2016605648263705</c:v>
                </c:pt>
                <c:pt idx="26">
                  <c:v>-1.9836222454864094</c:v>
                </c:pt>
                <c:pt idx="27">
                  <c:v>1.6622592288218931</c:v>
                </c:pt>
                <c:pt idx="28">
                  <c:v>3.6762867759521787</c:v>
                </c:pt>
                <c:pt idx="29">
                  <c:v>0.24139067967495381</c:v>
                </c:pt>
                <c:pt idx="30">
                  <c:v>3.6844118986422254</c:v>
                </c:pt>
                <c:pt idx="31">
                  <c:v>4.1239662011296749</c:v>
                </c:pt>
                <c:pt idx="32">
                  <c:v>4.0536739765063983</c:v>
                </c:pt>
                <c:pt idx="33">
                  <c:v>0.39334960106432287</c:v>
                </c:pt>
                <c:pt idx="34">
                  <c:v>-0.15681921393749493</c:v>
                </c:pt>
                <c:pt idx="35">
                  <c:v>3.3177088846235838</c:v>
                </c:pt>
                <c:pt idx="36">
                  <c:v>-1.8021770233629841</c:v>
                </c:pt>
                <c:pt idx="37">
                  <c:v>-3.9052468460126173</c:v>
                </c:pt>
                <c:pt idx="38">
                  <c:v>-1.9755702888926949</c:v>
                </c:pt>
                <c:pt idx="39">
                  <c:v>2.2980267342775349</c:v>
                </c:pt>
                <c:pt idx="40">
                  <c:v>-0.24628108181306216</c:v>
                </c:pt>
                <c:pt idx="41">
                  <c:v>4.8256020158874122</c:v>
                </c:pt>
                <c:pt idx="42">
                  <c:v>2.3485839654435177</c:v>
                </c:pt>
                <c:pt idx="43">
                  <c:v>0.15723997490911548</c:v>
                </c:pt>
                <c:pt idx="44">
                  <c:v>3.4724211971263492</c:v>
                </c:pt>
                <c:pt idx="45">
                  <c:v>1.2562848598038634</c:v>
                </c:pt>
                <c:pt idx="46">
                  <c:v>-0.90484495195411307</c:v>
                </c:pt>
                <c:pt idx="47">
                  <c:v>3.240484936416439</c:v>
                </c:pt>
                <c:pt idx="48">
                  <c:v>-0.31959727481456074</c:v>
                </c:pt>
                <c:pt idx="49">
                  <c:v>4.2799461829071008</c:v>
                </c:pt>
                <c:pt idx="50">
                  <c:v>-1.1384909306303921</c:v>
                </c:pt>
                <c:pt idx="51">
                  <c:v>1.0213065931182101</c:v>
                </c:pt>
                <c:pt idx="52">
                  <c:v>3.9301409054848109</c:v>
                </c:pt>
                <c:pt idx="53">
                  <c:v>4.9510889912519138</c:v>
                </c:pt>
                <c:pt idx="54">
                  <c:v>-0.36732403248139234</c:v>
                </c:pt>
                <c:pt idx="55">
                  <c:v>0.4457258867229475</c:v>
                </c:pt>
                <c:pt idx="56">
                  <c:v>-0.55964932491555897</c:v>
                </c:pt>
                <c:pt idx="57">
                  <c:v>-1.0201682172990389</c:v>
                </c:pt>
                <c:pt idx="58">
                  <c:v>3.5100407190048366</c:v>
                </c:pt>
                <c:pt idx="59">
                  <c:v>1.3614527248869044</c:v>
                </c:pt>
                <c:pt idx="60">
                  <c:v>-0.59891529283364242</c:v>
                </c:pt>
                <c:pt idx="61">
                  <c:v>5.9120690826819189</c:v>
                </c:pt>
                <c:pt idx="62">
                  <c:v>0.22127109717878579</c:v>
                </c:pt>
                <c:pt idx="63">
                  <c:v>4.1715147059341415</c:v>
                </c:pt>
                <c:pt idx="64">
                  <c:v>3.3106107239140123</c:v>
                </c:pt>
                <c:pt idx="65">
                  <c:v>-0.28871106262617879</c:v>
                </c:pt>
                <c:pt idx="66">
                  <c:v>-2.1343432574844834</c:v>
                </c:pt>
                <c:pt idx="67">
                  <c:v>0.14201055694206449</c:v>
                </c:pt>
                <c:pt idx="68">
                  <c:v>0.37144709870516529</c:v>
                </c:pt>
                <c:pt idx="69">
                  <c:v>-0.44318579492173782</c:v>
                </c:pt>
                <c:pt idx="70">
                  <c:v>4.8876143904644413</c:v>
                </c:pt>
                <c:pt idx="71">
                  <c:v>4.1713064890596883</c:v>
                </c:pt>
                <c:pt idx="72">
                  <c:v>3.0814492820305137</c:v>
                </c:pt>
                <c:pt idx="73">
                  <c:v>-0.57042673204354366</c:v>
                </c:pt>
                <c:pt idx="74">
                  <c:v>-0.88886142354828301</c:v>
                </c:pt>
                <c:pt idx="75">
                  <c:v>-1.1555559473347294</c:v>
                </c:pt>
                <c:pt idx="76">
                  <c:v>4.2349234216038658</c:v>
                </c:pt>
                <c:pt idx="77">
                  <c:v>3.7197040972061362</c:v>
                </c:pt>
                <c:pt idx="78">
                  <c:v>1.4042502280079001</c:v>
                </c:pt>
                <c:pt idx="79">
                  <c:v>2.7793878146401294</c:v>
                </c:pt>
                <c:pt idx="80">
                  <c:v>-1.7063278638967669</c:v>
                </c:pt>
                <c:pt idx="81">
                  <c:v>1.3727385994968342</c:v>
                </c:pt>
                <c:pt idx="82">
                  <c:v>1.758473762463588</c:v>
                </c:pt>
                <c:pt idx="83">
                  <c:v>0.29467755939836388</c:v>
                </c:pt>
                <c:pt idx="84">
                  <c:v>-1.9357674185352813</c:v>
                </c:pt>
                <c:pt idx="85">
                  <c:v>0.62762516282825753</c:v>
                </c:pt>
                <c:pt idx="86">
                  <c:v>2.4107909336845004</c:v>
                </c:pt>
                <c:pt idx="87">
                  <c:v>3.5939313760496394</c:v>
                </c:pt>
                <c:pt idx="88">
                  <c:v>3.5471281872592058</c:v>
                </c:pt>
                <c:pt idx="89">
                  <c:v>3.048304391571047</c:v>
                </c:pt>
                <c:pt idx="90">
                  <c:v>-1.0544062572955941</c:v>
                </c:pt>
                <c:pt idx="91">
                  <c:v>2.7592062241121851</c:v>
                </c:pt>
                <c:pt idx="92">
                  <c:v>1.2754170863365852</c:v>
                </c:pt>
                <c:pt idx="93">
                  <c:v>2.9040260787492445</c:v>
                </c:pt>
                <c:pt idx="94">
                  <c:v>3.3948529629583954</c:v>
                </c:pt>
                <c:pt idx="95">
                  <c:v>-3.3431318151230993</c:v>
                </c:pt>
                <c:pt idx="96">
                  <c:v>4.2727774298961796</c:v>
                </c:pt>
                <c:pt idx="97">
                  <c:v>1.3541180519689362</c:v>
                </c:pt>
                <c:pt idx="98">
                  <c:v>0.30019533497747464</c:v>
                </c:pt>
                <c:pt idx="99">
                  <c:v>1.1257274804080926</c:v>
                </c:pt>
                <c:pt idx="100">
                  <c:v>2.9781660832863306</c:v>
                </c:pt>
                <c:pt idx="101">
                  <c:v>1.5839415843550908</c:v>
                </c:pt>
                <c:pt idx="102">
                  <c:v>3.8674815740734392</c:v>
                </c:pt>
                <c:pt idx="103">
                  <c:v>1.4362511649543541</c:v>
                </c:pt>
                <c:pt idx="104">
                  <c:v>4.3096387552989333</c:v>
                </c:pt>
                <c:pt idx="105">
                  <c:v>2.8125875373755322</c:v>
                </c:pt>
                <c:pt idx="106">
                  <c:v>-0.61706221073473144</c:v>
                </c:pt>
                <c:pt idx="107">
                  <c:v>1.04791529005682</c:v>
                </c:pt>
                <c:pt idx="108">
                  <c:v>4.0884507933670537</c:v>
                </c:pt>
                <c:pt idx="109">
                  <c:v>-8.5189723514257507E-2</c:v>
                </c:pt>
                <c:pt idx="110">
                  <c:v>1.3800556151792684</c:v>
                </c:pt>
                <c:pt idx="111">
                  <c:v>-0.7806217036401889</c:v>
                </c:pt>
                <c:pt idx="112">
                  <c:v>-0.82405539923198701</c:v>
                </c:pt>
                <c:pt idx="113">
                  <c:v>-6.4358388760818189E-2</c:v>
                </c:pt>
                <c:pt idx="114">
                  <c:v>5.0239082121696512</c:v>
                </c:pt>
                <c:pt idx="115">
                  <c:v>5.5109696315173951</c:v>
                </c:pt>
                <c:pt idx="116">
                  <c:v>4.0711792825538788</c:v>
                </c:pt>
                <c:pt idx="117">
                  <c:v>-0.97636964584698305</c:v>
                </c:pt>
                <c:pt idx="118">
                  <c:v>2.446753725302909</c:v>
                </c:pt>
                <c:pt idx="119">
                  <c:v>-0.65213511293938364</c:v>
                </c:pt>
                <c:pt idx="120">
                  <c:v>4.4514112231459633</c:v>
                </c:pt>
                <c:pt idx="121">
                  <c:v>1.6512116879707235</c:v>
                </c:pt>
                <c:pt idx="122">
                  <c:v>0.98982188847871233</c:v>
                </c:pt>
                <c:pt idx="123">
                  <c:v>-2.1385232596249035</c:v>
                </c:pt>
                <c:pt idx="124">
                  <c:v>-1.5123586383448058</c:v>
                </c:pt>
                <c:pt idx="125">
                  <c:v>0.54798959132812064</c:v>
                </c:pt>
                <c:pt idx="126">
                  <c:v>5.3473583347029621</c:v>
                </c:pt>
                <c:pt idx="127">
                  <c:v>3.1309233105640586</c:v>
                </c:pt>
                <c:pt idx="128">
                  <c:v>-1.7585082687241269</c:v>
                </c:pt>
                <c:pt idx="129">
                  <c:v>3.9006194077118446</c:v>
                </c:pt>
                <c:pt idx="130">
                  <c:v>-0.93306800953930202</c:v>
                </c:pt>
                <c:pt idx="131">
                  <c:v>3.4748913301073623</c:v>
                </c:pt>
                <c:pt idx="132">
                  <c:v>1.499437658775314</c:v>
                </c:pt>
                <c:pt idx="133">
                  <c:v>3.3858874431885755</c:v>
                </c:pt>
                <c:pt idx="134">
                  <c:v>0.2686258594459438</c:v>
                </c:pt>
                <c:pt idx="135">
                  <c:v>0.35178038030853365</c:v>
                </c:pt>
                <c:pt idx="136">
                  <c:v>-2.5271803778105908</c:v>
                </c:pt>
                <c:pt idx="137">
                  <c:v>4.4240986294774434</c:v>
                </c:pt>
                <c:pt idx="138">
                  <c:v>1.626476483469119</c:v>
                </c:pt>
                <c:pt idx="139">
                  <c:v>3.0358206715476266</c:v>
                </c:pt>
                <c:pt idx="140">
                  <c:v>-1.039801598174301</c:v>
                </c:pt>
                <c:pt idx="141">
                  <c:v>5.184696646153685</c:v>
                </c:pt>
                <c:pt idx="142">
                  <c:v>-1.4227686609126553</c:v>
                </c:pt>
                <c:pt idx="143">
                  <c:v>1.2726720332626791</c:v>
                </c:pt>
                <c:pt idx="144">
                  <c:v>0.89524184637730964</c:v>
                </c:pt>
                <c:pt idx="145">
                  <c:v>1.3491766134171987</c:v>
                </c:pt>
                <c:pt idx="146">
                  <c:v>3.9969401383482484</c:v>
                </c:pt>
                <c:pt idx="147">
                  <c:v>-0.19036128473463695</c:v>
                </c:pt>
                <c:pt idx="148">
                  <c:v>-1.1908448769734779</c:v>
                </c:pt>
                <c:pt idx="149">
                  <c:v>0.26486477699869787</c:v>
                </c:pt>
                <c:pt idx="150">
                  <c:v>-0.55114575611707295</c:v>
                </c:pt>
                <c:pt idx="151">
                  <c:v>-0.8132106978662218</c:v>
                </c:pt>
                <c:pt idx="152">
                  <c:v>-3.4113754790240498</c:v>
                </c:pt>
                <c:pt idx="153">
                  <c:v>-0.14786049877928853</c:v>
                </c:pt>
                <c:pt idx="154">
                  <c:v>0.55237655676625463</c:v>
                </c:pt>
                <c:pt idx="155">
                  <c:v>-0.40933241592877573</c:v>
                </c:pt>
                <c:pt idx="156">
                  <c:v>5.0581191690641427</c:v>
                </c:pt>
                <c:pt idx="157">
                  <c:v>-2.0779330821545012</c:v>
                </c:pt>
                <c:pt idx="158">
                  <c:v>0.88052800774633377</c:v>
                </c:pt>
                <c:pt idx="159">
                  <c:v>0.25096725719237473</c:v>
                </c:pt>
                <c:pt idx="160">
                  <c:v>6.0998987977947321</c:v>
                </c:pt>
                <c:pt idx="161">
                  <c:v>3.6442627618032009</c:v>
                </c:pt>
                <c:pt idx="162">
                  <c:v>-1.6457112825412648</c:v>
                </c:pt>
                <c:pt idx="163">
                  <c:v>-0.72208935268278074</c:v>
                </c:pt>
                <c:pt idx="164">
                  <c:v>2.4097655360135026</c:v>
                </c:pt>
                <c:pt idx="165">
                  <c:v>-0.13819448347534585</c:v>
                </c:pt>
                <c:pt idx="166">
                  <c:v>4.9849480793379248</c:v>
                </c:pt>
                <c:pt idx="167">
                  <c:v>4.8231348214247856</c:v>
                </c:pt>
                <c:pt idx="168">
                  <c:v>3.4587583253804963</c:v>
                </c:pt>
                <c:pt idx="169">
                  <c:v>5.2376528621301182</c:v>
                </c:pt>
                <c:pt idx="170">
                  <c:v>3.981840808483073</c:v>
                </c:pt>
                <c:pt idx="171">
                  <c:v>-0.83636412453965803</c:v>
                </c:pt>
                <c:pt idx="172">
                  <c:v>1.6651843358151586</c:v>
                </c:pt>
                <c:pt idx="173">
                  <c:v>0.87443233027117473</c:v>
                </c:pt>
                <c:pt idx="174">
                  <c:v>0.32201681597002724</c:v>
                </c:pt>
                <c:pt idx="175">
                  <c:v>3.4875269821201327</c:v>
                </c:pt>
                <c:pt idx="176">
                  <c:v>-0.5310553124266727</c:v>
                </c:pt>
                <c:pt idx="177">
                  <c:v>3.9170068069759458</c:v>
                </c:pt>
                <c:pt idx="178">
                  <c:v>4.5465221501864779</c:v>
                </c:pt>
                <c:pt idx="179">
                  <c:v>4.7918578014275548</c:v>
                </c:pt>
                <c:pt idx="180">
                  <c:v>1.0139034380323941</c:v>
                </c:pt>
                <c:pt idx="181">
                  <c:v>3.3272773916119922</c:v>
                </c:pt>
                <c:pt idx="182">
                  <c:v>-0.11277154017269274</c:v>
                </c:pt>
                <c:pt idx="183">
                  <c:v>4.5145111241462796</c:v>
                </c:pt>
                <c:pt idx="184">
                  <c:v>4.7975347867094147</c:v>
                </c:pt>
                <c:pt idx="185">
                  <c:v>0.58655011178910677</c:v>
                </c:pt>
                <c:pt idx="186">
                  <c:v>-2.1522638792174011</c:v>
                </c:pt>
                <c:pt idx="187">
                  <c:v>-1.7596854006777518</c:v>
                </c:pt>
                <c:pt idx="188">
                  <c:v>2.7894285111181136</c:v>
                </c:pt>
                <c:pt idx="189">
                  <c:v>-2.9993657722153437</c:v>
                </c:pt>
                <c:pt idx="190">
                  <c:v>-0.76307276941717617</c:v>
                </c:pt>
                <c:pt idx="191">
                  <c:v>-1.7386131436974006</c:v>
                </c:pt>
                <c:pt idx="192">
                  <c:v>4.1289946796011883</c:v>
                </c:pt>
                <c:pt idx="193">
                  <c:v>0.84246741127641256</c:v>
                </c:pt>
                <c:pt idx="194">
                  <c:v>1.6278445600284628</c:v>
                </c:pt>
                <c:pt idx="195">
                  <c:v>1.8052475720999275</c:v>
                </c:pt>
                <c:pt idx="196">
                  <c:v>2.288312007809215</c:v>
                </c:pt>
                <c:pt idx="197">
                  <c:v>-0.32776001250539349</c:v>
                </c:pt>
                <c:pt idx="198">
                  <c:v>-0.11496757297565079</c:v>
                </c:pt>
                <c:pt idx="199">
                  <c:v>-1.7516671348184694</c:v>
                </c:pt>
                <c:pt idx="200">
                  <c:v>-1.0684217423101203</c:v>
                </c:pt>
                <c:pt idx="201">
                  <c:v>4.1675166961522496</c:v>
                </c:pt>
                <c:pt idx="202">
                  <c:v>0.85712401335151422</c:v>
                </c:pt>
                <c:pt idx="203">
                  <c:v>3.9037424887153902</c:v>
                </c:pt>
                <c:pt idx="204">
                  <c:v>1.4464757489049129</c:v>
                </c:pt>
                <c:pt idx="205">
                  <c:v>0.5380811640737091</c:v>
                </c:pt>
                <c:pt idx="206">
                  <c:v>0.50902947081818939</c:v>
                </c:pt>
                <c:pt idx="207">
                  <c:v>3.977009860413057</c:v>
                </c:pt>
                <c:pt idx="208">
                  <c:v>2.0817972089729606</c:v>
                </c:pt>
                <c:pt idx="209">
                  <c:v>-2.1609531679952894</c:v>
                </c:pt>
                <c:pt idx="210">
                  <c:v>4.3702712511337918</c:v>
                </c:pt>
                <c:pt idx="211">
                  <c:v>-0.41050352320463801</c:v>
                </c:pt>
                <c:pt idx="212">
                  <c:v>-6.2618266178431109E-2</c:v>
                </c:pt>
                <c:pt idx="213">
                  <c:v>0.17055775205909454</c:v>
                </c:pt>
                <c:pt idx="214">
                  <c:v>4.5383816839770184</c:v>
                </c:pt>
                <c:pt idx="215">
                  <c:v>4.4589369634863525</c:v>
                </c:pt>
                <c:pt idx="216">
                  <c:v>3.0033007163026428</c:v>
                </c:pt>
                <c:pt idx="217">
                  <c:v>-2.7989657496382931</c:v>
                </c:pt>
                <c:pt idx="218">
                  <c:v>1.5410409685679289E-2</c:v>
                </c:pt>
                <c:pt idx="219">
                  <c:v>2.5147347693945865</c:v>
                </c:pt>
                <c:pt idx="220">
                  <c:v>3.4621434231754362</c:v>
                </c:pt>
                <c:pt idx="221">
                  <c:v>-0.74486570444635003</c:v>
                </c:pt>
                <c:pt idx="222">
                  <c:v>-2.9725137044829695</c:v>
                </c:pt>
                <c:pt idx="223">
                  <c:v>0.9774695388222977</c:v>
                </c:pt>
                <c:pt idx="224">
                  <c:v>3.724467613899745</c:v>
                </c:pt>
                <c:pt idx="225">
                  <c:v>3.0102851023385737</c:v>
                </c:pt>
                <c:pt idx="226">
                  <c:v>-7.5859515060672456E-2</c:v>
                </c:pt>
                <c:pt idx="227">
                  <c:v>3.7814952237381476</c:v>
                </c:pt>
                <c:pt idx="228">
                  <c:v>1.9405189585381177</c:v>
                </c:pt>
                <c:pt idx="229">
                  <c:v>-2.0338773306604985</c:v>
                </c:pt>
                <c:pt idx="230">
                  <c:v>-0.78101516821743877</c:v>
                </c:pt>
                <c:pt idx="231">
                  <c:v>3.9216349477641197</c:v>
                </c:pt>
                <c:pt idx="232">
                  <c:v>0.33204188270264484</c:v>
                </c:pt>
                <c:pt idx="233">
                  <c:v>-0.34524879174840428</c:v>
                </c:pt>
                <c:pt idx="234">
                  <c:v>4.42327118088979</c:v>
                </c:pt>
                <c:pt idx="235">
                  <c:v>-1.2732597089994684</c:v>
                </c:pt>
                <c:pt idx="236">
                  <c:v>0.8844860001229764</c:v>
                </c:pt>
                <c:pt idx="237">
                  <c:v>-1.4683558503922682</c:v>
                </c:pt>
                <c:pt idx="238">
                  <c:v>-0.34032092828903077</c:v>
                </c:pt>
                <c:pt idx="239">
                  <c:v>-2.3522224014457014</c:v>
                </c:pt>
                <c:pt idx="240">
                  <c:v>3.8673859093733296</c:v>
                </c:pt>
                <c:pt idx="241">
                  <c:v>2.849238927088138</c:v>
                </c:pt>
                <c:pt idx="242">
                  <c:v>1.8960232341435108</c:v>
                </c:pt>
                <c:pt idx="243">
                  <c:v>-0.97306885368273188</c:v>
                </c:pt>
                <c:pt idx="244">
                  <c:v>3.7837584559240272</c:v>
                </c:pt>
                <c:pt idx="245">
                  <c:v>-1.9650333445703696</c:v>
                </c:pt>
                <c:pt idx="246">
                  <c:v>0.47569195451308516</c:v>
                </c:pt>
                <c:pt idx="247">
                  <c:v>0.45808642542676659</c:v>
                </c:pt>
                <c:pt idx="248">
                  <c:v>-1.3188044339446638</c:v>
                </c:pt>
                <c:pt idx="249">
                  <c:v>3.0932403601006069</c:v>
                </c:pt>
                <c:pt idx="250">
                  <c:v>3.5447496577076083</c:v>
                </c:pt>
                <c:pt idx="251">
                  <c:v>1.3969072789912724</c:v>
                </c:pt>
                <c:pt idx="252">
                  <c:v>8.4981925039228093E-2</c:v>
                </c:pt>
                <c:pt idx="253">
                  <c:v>-1.0757640103834063</c:v>
                </c:pt>
                <c:pt idx="254">
                  <c:v>2.3477059842388925</c:v>
                </c:pt>
                <c:pt idx="255">
                  <c:v>-0.94749218989137152</c:v>
                </c:pt>
                <c:pt idx="256">
                  <c:v>-1.700717195856366</c:v>
                </c:pt>
                <c:pt idx="257">
                  <c:v>2.5132944957930667</c:v>
                </c:pt>
                <c:pt idx="258">
                  <c:v>-9.3572702893365958E-2</c:v>
                </c:pt>
                <c:pt idx="259">
                  <c:v>2.8292502336144132</c:v>
                </c:pt>
                <c:pt idx="260">
                  <c:v>-0.54072638466616718</c:v>
                </c:pt>
                <c:pt idx="261">
                  <c:v>4.4061278782140247</c:v>
                </c:pt>
                <c:pt idx="262">
                  <c:v>-1.7167646852384453</c:v>
                </c:pt>
                <c:pt idx="263">
                  <c:v>-1.431643816514331</c:v>
                </c:pt>
                <c:pt idx="264">
                  <c:v>2.068137222276019</c:v>
                </c:pt>
                <c:pt idx="265">
                  <c:v>0.20072063837898915</c:v>
                </c:pt>
                <c:pt idx="266">
                  <c:v>0.16511906721308889</c:v>
                </c:pt>
                <c:pt idx="267">
                  <c:v>0.56780558761981503</c:v>
                </c:pt>
                <c:pt idx="268">
                  <c:v>0.29575920359097557</c:v>
                </c:pt>
                <c:pt idx="269">
                  <c:v>-4.0865190763035146</c:v>
                </c:pt>
                <c:pt idx="270">
                  <c:v>0.62610708089233547</c:v>
                </c:pt>
                <c:pt idx="271">
                  <c:v>3.9197647860031193</c:v>
                </c:pt>
                <c:pt idx="272">
                  <c:v>6.1771517424476832</c:v>
                </c:pt>
                <c:pt idx="273">
                  <c:v>1.9662948141294796</c:v>
                </c:pt>
                <c:pt idx="274">
                  <c:v>-4.1865763696262374E-2</c:v>
                </c:pt>
                <c:pt idx="275">
                  <c:v>2.8487322985513321</c:v>
                </c:pt>
                <c:pt idx="276">
                  <c:v>3.714549393985402</c:v>
                </c:pt>
                <c:pt idx="277">
                  <c:v>-4.4583196547013095</c:v>
                </c:pt>
                <c:pt idx="278">
                  <c:v>4.5099980458164044</c:v>
                </c:pt>
                <c:pt idx="279">
                  <c:v>0.14197339601296494</c:v>
                </c:pt>
                <c:pt idx="280">
                  <c:v>1.5850095013623631</c:v>
                </c:pt>
                <c:pt idx="281">
                  <c:v>0.12955206210796763</c:v>
                </c:pt>
                <c:pt idx="282">
                  <c:v>1.3468381718972386</c:v>
                </c:pt>
                <c:pt idx="283">
                  <c:v>0.98074853900273284</c:v>
                </c:pt>
                <c:pt idx="284">
                  <c:v>0.87935340367172454</c:v>
                </c:pt>
                <c:pt idx="285">
                  <c:v>-0.99466471214221697</c:v>
                </c:pt>
                <c:pt idx="286">
                  <c:v>7.2229488726201371E-2</c:v>
                </c:pt>
                <c:pt idx="287">
                  <c:v>-0.67301561661501041</c:v>
                </c:pt>
                <c:pt idx="288">
                  <c:v>-0.88820528715102087</c:v>
                </c:pt>
                <c:pt idx="289">
                  <c:v>0.61707043394869954</c:v>
                </c:pt>
                <c:pt idx="290">
                  <c:v>4.1151210647659759</c:v>
                </c:pt>
                <c:pt idx="291">
                  <c:v>4.5148329184851672</c:v>
                </c:pt>
                <c:pt idx="292">
                  <c:v>4.7556817865377186</c:v>
                </c:pt>
                <c:pt idx="293">
                  <c:v>3.5111965572497081</c:v>
                </c:pt>
                <c:pt idx="294">
                  <c:v>-0.80244018513936421</c:v>
                </c:pt>
                <c:pt idx="295">
                  <c:v>5.0893899042093977</c:v>
                </c:pt>
                <c:pt idx="296">
                  <c:v>3.6872643588042484</c:v>
                </c:pt>
                <c:pt idx="297">
                  <c:v>2.8744647716637548</c:v>
                </c:pt>
                <c:pt idx="298">
                  <c:v>2.6981314604052349</c:v>
                </c:pt>
                <c:pt idx="299">
                  <c:v>1.2168058347753661</c:v>
                </c:pt>
                <c:pt idx="300">
                  <c:v>-3.4616367652045708</c:v>
                </c:pt>
                <c:pt idx="301">
                  <c:v>-3.323171294596388</c:v>
                </c:pt>
                <c:pt idx="302">
                  <c:v>-3.1847058239882049</c:v>
                </c:pt>
                <c:pt idx="303">
                  <c:v>-3.0462403533800222</c:v>
                </c:pt>
                <c:pt idx="304">
                  <c:v>-2.9077748827718395</c:v>
                </c:pt>
                <c:pt idx="305">
                  <c:v>-2.7693094121636568</c:v>
                </c:pt>
                <c:pt idx="306">
                  <c:v>-2.6308439415554736</c:v>
                </c:pt>
                <c:pt idx="307">
                  <c:v>-2.4923784709472909</c:v>
                </c:pt>
                <c:pt idx="308">
                  <c:v>-2.3539130003391082</c:v>
                </c:pt>
                <c:pt idx="309">
                  <c:v>-2.2154475297309251</c:v>
                </c:pt>
                <c:pt idx="310">
                  <c:v>-2.0769820591227424</c:v>
                </c:pt>
                <c:pt idx="311">
                  <c:v>-1.9385165885145597</c:v>
                </c:pt>
                <c:pt idx="312">
                  <c:v>-1.8000511179063767</c:v>
                </c:pt>
                <c:pt idx="313">
                  <c:v>-1.661585647298194</c:v>
                </c:pt>
                <c:pt idx="314">
                  <c:v>-1.5231201766900111</c:v>
                </c:pt>
                <c:pt idx="315">
                  <c:v>-1.3846547060818284</c:v>
                </c:pt>
                <c:pt idx="316">
                  <c:v>-1.2461892354736457</c:v>
                </c:pt>
                <c:pt idx="317">
                  <c:v>-1.1077237648654625</c:v>
                </c:pt>
                <c:pt idx="318">
                  <c:v>-0.96925829425727983</c:v>
                </c:pt>
                <c:pt idx="319">
                  <c:v>-0.83079282364909668</c:v>
                </c:pt>
                <c:pt idx="320">
                  <c:v>-0.69232735304091397</c:v>
                </c:pt>
                <c:pt idx="321">
                  <c:v>-0.55386188243273171</c:v>
                </c:pt>
                <c:pt idx="322">
                  <c:v>-0.41539641182454856</c:v>
                </c:pt>
                <c:pt idx="323">
                  <c:v>-0.27693094121636586</c:v>
                </c:pt>
                <c:pt idx="324">
                  <c:v>-0.13846547060818271</c:v>
                </c:pt>
                <c:pt idx="325">
                  <c:v>0</c:v>
                </c:pt>
                <c:pt idx="326">
                  <c:v>0.13846547060818271</c:v>
                </c:pt>
                <c:pt idx="327">
                  <c:v>0.27693094121636541</c:v>
                </c:pt>
                <c:pt idx="328">
                  <c:v>0.41539641182454856</c:v>
                </c:pt>
                <c:pt idx="329">
                  <c:v>0.55386188243273127</c:v>
                </c:pt>
                <c:pt idx="330">
                  <c:v>0.69232735304091397</c:v>
                </c:pt>
                <c:pt idx="331">
                  <c:v>0.83079282364909668</c:v>
                </c:pt>
                <c:pt idx="332">
                  <c:v>0.96925829425727938</c:v>
                </c:pt>
                <c:pt idx="333">
                  <c:v>1.107723764865463</c:v>
                </c:pt>
                <c:pt idx="334">
                  <c:v>1.2461892354736457</c:v>
                </c:pt>
                <c:pt idx="335">
                  <c:v>1.3846547060818284</c:v>
                </c:pt>
                <c:pt idx="336">
                  <c:v>1.5231201766900111</c:v>
                </c:pt>
                <c:pt idx="337">
                  <c:v>1.6615856472981938</c:v>
                </c:pt>
                <c:pt idx="338">
                  <c:v>1.8000511179063774</c:v>
                </c:pt>
                <c:pt idx="339">
                  <c:v>1.9385165885145592</c:v>
                </c:pt>
                <c:pt idx="340">
                  <c:v>2.0769820591227428</c:v>
                </c:pt>
                <c:pt idx="341">
                  <c:v>2.2154475297309255</c:v>
                </c:pt>
                <c:pt idx="342">
                  <c:v>2.3539130003391073</c:v>
                </c:pt>
                <c:pt idx="343">
                  <c:v>2.4923784709472909</c:v>
                </c:pt>
                <c:pt idx="344">
                  <c:v>2.6308439415554736</c:v>
                </c:pt>
                <c:pt idx="345">
                  <c:v>2.7693094121636572</c:v>
                </c:pt>
                <c:pt idx="346">
                  <c:v>2.907774882771839</c:v>
                </c:pt>
                <c:pt idx="347">
                  <c:v>3.0462403533800217</c:v>
                </c:pt>
                <c:pt idx="348">
                  <c:v>3.1847058239882053</c:v>
                </c:pt>
                <c:pt idx="349">
                  <c:v>3.323171294596388</c:v>
                </c:pt>
                <c:pt idx="350">
                  <c:v>3.4616367652045716</c:v>
                </c:pt>
                <c:pt idx="351">
                  <c:v>1.5522531693191839</c:v>
                </c:pt>
                <c:pt idx="352">
                  <c:v>1.6501630425464167</c:v>
                </c:pt>
                <c:pt idx="353">
                  <c:v>1.748072915773649</c:v>
                </c:pt>
                <c:pt idx="354">
                  <c:v>1.8459827890008818</c:v>
                </c:pt>
                <c:pt idx="355">
                  <c:v>1.9438926622281145</c:v>
                </c:pt>
                <c:pt idx="356">
                  <c:v>2.0418025354553473</c:v>
                </c:pt>
                <c:pt idx="357">
                  <c:v>2.1397124086825796</c:v>
                </c:pt>
                <c:pt idx="358">
                  <c:v>2.2376222819098124</c:v>
                </c:pt>
                <c:pt idx="359">
                  <c:v>2.3355321551370452</c:v>
                </c:pt>
                <c:pt idx="360">
                  <c:v>2.4334420283642775</c:v>
                </c:pt>
                <c:pt idx="361">
                  <c:v>2.5313519015915102</c:v>
                </c:pt>
                <c:pt idx="362">
                  <c:v>2.629261774818743</c:v>
                </c:pt>
                <c:pt idx="363">
                  <c:v>2.7271716480459753</c:v>
                </c:pt>
                <c:pt idx="364">
                  <c:v>2.8250815212732086</c:v>
                </c:pt>
                <c:pt idx="365">
                  <c:v>2.9229913945004409</c:v>
                </c:pt>
                <c:pt idx="366">
                  <c:v>3.0209012677276736</c:v>
                </c:pt>
                <c:pt idx="367">
                  <c:v>3.1188111409549064</c:v>
                </c:pt>
                <c:pt idx="368">
                  <c:v>3.2167210141821387</c:v>
                </c:pt>
                <c:pt idx="369">
                  <c:v>3.3146308874093715</c:v>
                </c:pt>
                <c:pt idx="370">
                  <c:v>3.4125407606366043</c:v>
                </c:pt>
                <c:pt idx="371">
                  <c:v>3.5104506338638366</c:v>
                </c:pt>
                <c:pt idx="372">
                  <c:v>3.6083605070910694</c:v>
                </c:pt>
                <c:pt idx="373">
                  <c:v>3.7062703803183021</c:v>
                </c:pt>
                <c:pt idx="374">
                  <c:v>3.8041802535455349</c:v>
                </c:pt>
                <c:pt idx="375">
                  <c:v>3.9020901267727672</c:v>
                </c:pt>
                <c:pt idx="376">
                  <c:v>4</c:v>
                </c:pt>
                <c:pt idx="377">
                  <c:v>4.0979098732272323</c:v>
                </c:pt>
                <c:pt idx="378">
                  <c:v>4.1958197464544646</c:v>
                </c:pt>
                <c:pt idx="379">
                  <c:v>4.2937296196816979</c:v>
                </c:pt>
                <c:pt idx="380">
                  <c:v>4.3916394929089302</c:v>
                </c:pt>
                <c:pt idx="381">
                  <c:v>4.4895493661361634</c:v>
                </c:pt>
                <c:pt idx="382">
                  <c:v>4.5874592393633957</c:v>
                </c:pt>
                <c:pt idx="383">
                  <c:v>4.685369112590628</c:v>
                </c:pt>
                <c:pt idx="384">
                  <c:v>4.7832789858178613</c:v>
                </c:pt>
                <c:pt idx="385">
                  <c:v>4.8811888590450936</c:v>
                </c:pt>
                <c:pt idx="386">
                  <c:v>4.9790987322723268</c:v>
                </c:pt>
                <c:pt idx="387">
                  <c:v>5.0770086054995591</c:v>
                </c:pt>
                <c:pt idx="388">
                  <c:v>5.1749184787267914</c:v>
                </c:pt>
                <c:pt idx="389">
                  <c:v>5.2728283519540238</c:v>
                </c:pt>
                <c:pt idx="390">
                  <c:v>5.370738225181257</c:v>
                </c:pt>
                <c:pt idx="391">
                  <c:v>5.4686480984084902</c:v>
                </c:pt>
                <c:pt idx="392">
                  <c:v>5.5665579716357225</c:v>
                </c:pt>
                <c:pt idx="393">
                  <c:v>5.6644678448629548</c:v>
                </c:pt>
                <c:pt idx="394">
                  <c:v>5.7623777180901872</c:v>
                </c:pt>
                <c:pt idx="395">
                  <c:v>5.8602875913174204</c:v>
                </c:pt>
                <c:pt idx="396">
                  <c:v>5.9581974645446527</c:v>
                </c:pt>
                <c:pt idx="397">
                  <c:v>6.0561073377718859</c:v>
                </c:pt>
                <c:pt idx="398">
                  <c:v>6.1540172109991182</c:v>
                </c:pt>
                <c:pt idx="399">
                  <c:v>6.2519270842263506</c:v>
                </c:pt>
                <c:pt idx="400">
                  <c:v>6.3498369574535838</c:v>
                </c:pt>
                <c:pt idx="401">
                  <c:v>6.4477468306808161</c:v>
                </c:pt>
              </c:numCache>
            </c:numRef>
          </c:xVal>
          <c:yVal>
            <c:numRef>
              <c:f>'Simulation data'!$H$21:$H$422</c:f>
              <c:numCache>
                <c:formatCode>General</c:formatCode>
                <c:ptCount val="40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0.86540921917866265</c:v>
                </c:pt>
                <c:pt idx="301">
                  <c:v>1.4718969243469529</c:v>
                </c:pt>
                <c:pt idx="302">
                  <c:v>1.6935352666916987</c:v>
                </c:pt>
                <c:pt idx="303">
                  <c:v>1.8490871462148848</c:v>
                </c:pt>
                <c:pt idx="304">
                  <c:v>1.9692807391122837</c:v>
                </c:pt>
                <c:pt idx="305">
                  <c:v>2.0661218545363211</c:v>
                </c:pt>
                <c:pt idx="306">
                  <c:v>2.1458122240857223</c:v>
                </c:pt>
                <c:pt idx="307">
                  <c:v>2.2120575374273055</c:v>
                </c:pt>
                <c:pt idx="308">
                  <c:v>2.2672828613959308</c:v>
                </c:pt>
                <c:pt idx="309">
                  <c:v>2.3131772563881752</c:v>
                </c:pt>
                <c:pt idx="310">
                  <c:v>2.3509715167745622</c:v>
                </c:pt>
                <c:pt idx="311">
                  <c:v>2.3815934607078528</c:v>
                </c:pt>
                <c:pt idx="312">
                  <c:v>2.4057609654335019</c:v>
                </c:pt>
                <c:pt idx="313">
                  <c:v>2.424040787024528</c:v>
                </c:pt>
                <c:pt idx="314">
                  <c:v>2.4368873819443886</c:v>
                </c:pt>
                <c:pt idx="315">
                  <c:v>2.4446694406593994</c:v>
                </c:pt>
                <c:pt idx="316">
                  <c:v>2.4476885493011311</c:v>
                </c:pt>
                <c:pt idx="317">
                  <c:v>2.44619262559163</c:v>
                </c:pt>
                <c:pt idx="318">
                  <c:v>2.4403857759569716</c:v>
                </c:pt>
                <c:pt idx="319">
                  <c:v>2.430435632048173</c:v>
                </c:pt>
                <c:pt idx="320">
                  <c:v>2.4164788649968481</c:v>
                </c:pt>
                <c:pt idx="321">
                  <c:v>2.3986253483301692</c:v>
                </c:pt>
                <c:pt idx="322">
                  <c:v>2.3769612923180974</c:v>
                </c:pt>
                <c:pt idx="323">
                  <c:v>2.3515515730775691</c:v>
                </c:pt>
                <c:pt idx="324">
                  <c:v>2.3224414108652569</c:v>
                </c:pt>
                <c:pt idx="325">
                  <c:v>2.2896575024923451</c:v>
                </c:pt>
                <c:pt idx="326">
                  <c:v>2.253208675561166</c:v>
                </c:pt>
                <c:pt idx="327">
                  <c:v>2.2130861024693869</c:v>
                </c:pt>
                <c:pt idx="328">
                  <c:v>2.1692630864058229</c:v>
                </c:pt>
                <c:pt idx="329">
                  <c:v>2.1216944071138037</c:v>
                </c:pt>
                <c:pt idx="330">
                  <c:v>2.0703151884763908</c:v>
                </c:pt>
                <c:pt idx="331">
                  <c:v>2.0150392202236249</c:v>
                </c:pt>
                <c:pt idx="332">
                  <c:v>1.9557566288283317</c:v>
                </c:pt>
                <c:pt idx="333">
                  <c:v>1.8923307431588983</c:v>
                </c:pt>
                <c:pt idx="334">
                  <c:v>1.8245939315643085</c:v>
                </c:pt>
                <c:pt idx="335">
                  <c:v>1.752342087618485</c:v>
                </c:pt>
                <c:pt idx="336">
                  <c:v>1.6753272935993833</c:v>
                </c:pt>
                <c:pt idx="337">
                  <c:v>1.5932479633754308</c:v>
                </c:pt>
                <c:pt idx="338">
                  <c:v>1.505735406480313</c:v>
                </c:pt>
                <c:pt idx="339">
                  <c:v>1.412335166450573</c:v>
                </c:pt>
                <c:pt idx="340">
                  <c:v>1.3124804872131905</c:v>
                </c:pt>
                <c:pt idx="341">
                  <c:v>1.2054534915227122</c:v>
                </c:pt>
                <c:pt idx="342">
                  <c:v>1.0903263612263774</c:v>
                </c:pt>
                <c:pt idx="343">
                  <c:v>0.96586830195365991</c:v>
                </c:pt>
                <c:pt idx="344">
                  <c:v>0.83039025330798533</c:v>
                </c:pt>
                <c:pt idx="345">
                  <c:v>0.68146714845449219</c:v>
                </c:pt>
                <c:pt idx="346">
                  <c:v>0.51539329772636455</c:v>
                </c:pt>
                <c:pt idx="347">
                  <c:v>0.32596696952487425</c:v>
                </c:pt>
                <c:pt idx="348">
                  <c:v>0.10118235469759596</c:v>
                </c:pt>
                <c:pt idx="349">
                  <c:v>-0.18968872295124106</c:v>
                </c:pt>
                <c:pt idx="350">
                  <c:v>-0.8654091355461031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'Simulation data'!$I$20</c:f>
              <c:strCache>
                <c:ptCount val="1"/>
                <c:pt idx="0">
                  <c:v>Ellipsoid.1b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'Simulation data'!$C$21:$C$422</c:f>
              <c:numCache>
                <c:formatCode>General</c:formatCode>
                <c:ptCount val="402"/>
                <c:pt idx="0">
                  <c:v>-2.1458090045514067</c:v>
                </c:pt>
                <c:pt idx="1">
                  <c:v>3.2321360045660699</c:v>
                </c:pt>
                <c:pt idx="2">
                  <c:v>4.9401718757169304</c:v>
                </c:pt>
                <c:pt idx="3">
                  <c:v>3.8101809249088845</c:v>
                </c:pt>
                <c:pt idx="4">
                  <c:v>-4.9145426282480267E-2</c:v>
                </c:pt>
                <c:pt idx="5">
                  <c:v>-2.5228432546258131E-2</c:v>
                </c:pt>
                <c:pt idx="6">
                  <c:v>-0.29220078622149359</c:v>
                </c:pt>
                <c:pt idx="7">
                  <c:v>0.49613641368855654</c:v>
                </c:pt>
                <c:pt idx="8">
                  <c:v>-0.56473713272988635</c:v>
                </c:pt>
                <c:pt idx="9">
                  <c:v>4.2390780799608194</c:v>
                </c:pt>
                <c:pt idx="10">
                  <c:v>-1.1607911976569065</c:v>
                </c:pt>
                <c:pt idx="11">
                  <c:v>4.3915782617710164</c:v>
                </c:pt>
                <c:pt idx="12">
                  <c:v>-1.6970819022287003</c:v>
                </c:pt>
                <c:pt idx="13">
                  <c:v>-1.1039833758771549</c:v>
                </c:pt>
                <c:pt idx="14">
                  <c:v>3.8594640680730765</c:v>
                </c:pt>
                <c:pt idx="15">
                  <c:v>-1.5888254252359202</c:v>
                </c:pt>
                <c:pt idx="16">
                  <c:v>3.1700254907721344</c:v>
                </c:pt>
                <c:pt idx="17">
                  <c:v>4.5703129876344226</c:v>
                </c:pt>
                <c:pt idx="18">
                  <c:v>3.5076650710607127</c:v>
                </c:pt>
                <c:pt idx="19">
                  <c:v>4.5448847299734689</c:v>
                </c:pt>
                <c:pt idx="20">
                  <c:v>0.62275887877545733</c:v>
                </c:pt>
                <c:pt idx="21">
                  <c:v>-2.8518153123804284</c:v>
                </c:pt>
                <c:pt idx="22">
                  <c:v>3.3959342300941153</c:v>
                </c:pt>
                <c:pt idx="23">
                  <c:v>4.8282492711948386</c:v>
                </c:pt>
                <c:pt idx="24">
                  <c:v>-2.4425088894226077</c:v>
                </c:pt>
                <c:pt idx="25">
                  <c:v>-1.2016605648263705</c:v>
                </c:pt>
                <c:pt idx="26">
                  <c:v>-1.9836222454864094</c:v>
                </c:pt>
                <c:pt idx="27">
                  <c:v>1.6622592288218931</c:v>
                </c:pt>
                <c:pt idx="28">
                  <c:v>3.6762867759521787</c:v>
                </c:pt>
                <c:pt idx="29">
                  <c:v>0.24139067967495381</c:v>
                </c:pt>
                <c:pt idx="30">
                  <c:v>3.6844118986422254</c:v>
                </c:pt>
                <c:pt idx="31">
                  <c:v>4.1239662011296749</c:v>
                </c:pt>
                <c:pt idx="32">
                  <c:v>4.0536739765063983</c:v>
                </c:pt>
                <c:pt idx="33">
                  <c:v>0.39334960106432287</c:v>
                </c:pt>
                <c:pt idx="34">
                  <c:v>-0.15681921393749493</c:v>
                </c:pt>
                <c:pt idx="35">
                  <c:v>3.3177088846235838</c:v>
                </c:pt>
                <c:pt idx="36">
                  <c:v>-1.8021770233629841</c:v>
                </c:pt>
                <c:pt idx="37">
                  <c:v>-3.9052468460126173</c:v>
                </c:pt>
                <c:pt idx="38">
                  <c:v>-1.9755702888926949</c:v>
                </c:pt>
                <c:pt idx="39">
                  <c:v>2.2980267342775349</c:v>
                </c:pt>
                <c:pt idx="40">
                  <c:v>-0.24628108181306216</c:v>
                </c:pt>
                <c:pt idx="41">
                  <c:v>4.8256020158874122</c:v>
                </c:pt>
                <c:pt idx="42">
                  <c:v>2.3485839654435177</c:v>
                </c:pt>
                <c:pt idx="43">
                  <c:v>0.15723997490911548</c:v>
                </c:pt>
                <c:pt idx="44">
                  <c:v>3.4724211971263492</c:v>
                </c:pt>
                <c:pt idx="45">
                  <c:v>1.2562848598038634</c:v>
                </c:pt>
                <c:pt idx="46">
                  <c:v>-0.90484495195411307</c:v>
                </c:pt>
                <c:pt idx="47">
                  <c:v>3.240484936416439</c:v>
                </c:pt>
                <c:pt idx="48">
                  <c:v>-0.31959727481456074</c:v>
                </c:pt>
                <c:pt idx="49">
                  <c:v>4.2799461829071008</c:v>
                </c:pt>
                <c:pt idx="50">
                  <c:v>-1.1384909306303921</c:v>
                </c:pt>
                <c:pt idx="51">
                  <c:v>1.0213065931182101</c:v>
                </c:pt>
                <c:pt idx="52">
                  <c:v>3.9301409054848109</c:v>
                </c:pt>
                <c:pt idx="53">
                  <c:v>4.9510889912519138</c:v>
                </c:pt>
                <c:pt idx="54">
                  <c:v>-0.36732403248139234</c:v>
                </c:pt>
                <c:pt idx="55">
                  <c:v>0.4457258867229475</c:v>
                </c:pt>
                <c:pt idx="56">
                  <c:v>-0.55964932491555897</c:v>
                </c:pt>
                <c:pt idx="57">
                  <c:v>-1.0201682172990389</c:v>
                </c:pt>
                <c:pt idx="58">
                  <c:v>3.5100407190048366</c:v>
                </c:pt>
                <c:pt idx="59">
                  <c:v>1.3614527248869044</c:v>
                </c:pt>
                <c:pt idx="60">
                  <c:v>-0.59891529283364242</c:v>
                </c:pt>
                <c:pt idx="61">
                  <c:v>5.9120690826819189</c:v>
                </c:pt>
                <c:pt idx="62">
                  <c:v>0.22127109717878579</c:v>
                </c:pt>
                <c:pt idx="63">
                  <c:v>4.1715147059341415</c:v>
                </c:pt>
                <c:pt idx="64">
                  <c:v>3.3106107239140123</c:v>
                </c:pt>
                <c:pt idx="65">
                  <c:v>-0.28871106262617879</c:v>
                </c:pt>
                <c:pt idx="66">
                  <c:v>-2.1343432574844834</c:v>
                </c:pt>
                <c:pt idx="67">
                  <c:v>0.14201055694206449</c:v>
                </c:pt>
                <c:pt idx="68">
                  <c:v>0.37144709870516529</c:v>
                </c:pt>
                <c:pt idx="69">
                  <c:v>-0.44318579492173782</c:v>
                </c:pt>
                <c:pt idx="70">
                  <c:v>4.8876143904644413</c:v>
                </c:pt>
                <c:pt idx="71">
                  <c:v>4.1713064890596883</c:v>
                </c:pt>
                <c:pt idx="72">
                  <c:v>3.0814492820305137</c:v>
                </c:pt>
                <c:pt idx="73">
                  <c:v>-0.57042673204354366</c:v>
                </c:pt>
                <c:pt idx="74">
                  <c:v>-0.88886142354828301</c:v>
                </c:pt>
                <c:pt idx="75">
                  <c:v>-1.1555559473347294</c:v>
                </c:pt>
                <c:pt idx="76">
                  <c:v>4.2349234216038658</c:v>
                </c:pt>
                <c:pt idx="77">
                  <c:v>3.7197040972061362</c:v>
                </c:pt>
                <c:pt idx="78">
                  <c:v>1.4042502280079001</c:v>
                </c:pt>
                <c:pt idx="79">
                  <c:v>2.7793878146401294</c:v>
                </c:pt>
                <c:pt idx="80">
                  <c:v>-1.7063278638967669</c:v>
                </c:pt>
                <c:pt idx="81">
                  <c:v>1.3727385994968342</c:v>
                </c:pt>
                <c:pt idx="82">
                  <c:v>1.758473762463588</c:v>
                </c:pt>
                <c:pt idx="83">
                  <c:v>0.29467755939836388</c:v>
                </c:pt>
                <c:pt idx="84">
                  <c:v>-1.9357674185352813</c:v>
                </c:pt>
                <c:pt idx="85">
                  <c:v>0.62762516282825753</c:v>
                </c:pt>
                <c:pt idx="86">
                  <c:v>2.4107909336845004</c:v>
                </c:pt>
                <c:pt idx="87">
                  <c:v>3.5939313760496394</c:v>
                </c:pt>
                <c:pt idx="88">
                  <c:v>3.5471281872592058</c:v>
                </c:pt>
                <c:pt idx="89">
                  <c:v>3.048304391571047</c:v>
                </c:pt>
                <c:pt idx="90">
                  <c:v>-1.0544062572955941</c:v>
                </c:pt>
                <c:pt idx="91">
                  <c:v>2.7592062241121851</c:v>
                </c:pt>
                <c:pt idx="92">
                  <c:v>1.2754170863365852</c:v>
                </c:pt>
                <c:pt idx="93">
                  <c:v>2.9040260787492445</c:v>
                </c:pt>
                <c:pt idx="94">
                  <c:v>3.3948529629583954</c:v>
                </c:pt>
                <c:pt idx="95">
                  <c:v>-3.3431318151230993</c:v>
                </c:pt>
                <c:pt idx="96">
                  <c:v>4.2727774298961796</c:v>
                </c:pt>
                <c:pt idx="97">
                  <c:v>1.3541180519689362</c:v>
                </c:pt>
                <c:pt idx="98">
                  <c:v>0.30019533497747464</c:v>
                </c:pt>
                <c:pt idx="99">
                  <c:v>1.1257274804080926</c:v>
                </c:pt>
                <c:pt idx="100">
                  <c:v>2.9781660832863306</c:v>
                </c:pt>
                <c:pt idx="101">
                  <c:v>1.5839415843550908</c:v>
                </c:pt>
                <c:pt idx="102">
                  <c:v>3.8674815740734392</c:v>
                </c:pt>
                <c:pt idx="103">
                  <c:v>1.4362511649543541</c:v>
                </c:pt>
                <c:pt idx="104">
                  <c:v>4.3096387552989333</c:v>
                </c:pt>
                <c:pt idx="105">
                  <c:v>2.8125875373755322</c:v>
                </c:pt>
                <c:pt idx="106">
                  <c:v>-0.61706221073473144</c:v>
                </c:pt>
                <c:pt idx="107">
                  <c:v>1.04791529005682</c:v>
                </c:pt>
                <c:pt idx="108">
                  <c:v>4.0884507933670537</c:v>
                </c:pt>
                <c:pt idx="109">
                  <c:v>-8.5189723514257507E-2</c:v>
                </c:pt>
                <c:pt idx="110">
                  <c:v>1.3800556151792684</c:v>
                </c:pt>
                <c:pt idx="111">
                  <c:v>-0.7806217036401889</c:v>
                </c:pt>
                <c:pt idx="112">
                  <c:v>-0.82405539923198701</c:v>
                </c:pt>
                <c:pt idx="113">
                  <c:v>-6.4358388760818189E-2</c:v>
                </c:pt>
                <c:pt idx="114">
                  <c:v>5.0239082121696512</c:v>
                </c:pt>
                <c:pt idx="115">
                  <c:v>5.5109696315173951</c:v>
                </c:pt>
                <c:pt idx="116">
                  <c:v>4.0711792825538788</c:v>
                </c:pt>
                <c:pt idx="117">
                  <c:v>-0.97636964584698305</c:v>
                </c:pt>
                <c:pt idx="118">
                  <c:v>2.446753725302909</c:v>
                </c:pt>
                <c:pt idx="119">
                  <c:v>-0.65213511293938364</c:v>
                </c:pt>
                <c:pt idx="120">
                  <c:v>4.4514112231459633</c:v>
                </c:pt>
                <c:pt idx="121">
                  <c:v>1.6512116879707235</c:v>
                </c:pt>
                <c:pt idx="122">
                  <c:v>0.98982188847871233</c:v>
                </c:pt>
                <c:pt idx="123">
                  <c:v>-2.1385232596249035</c:v>
                </c:pt>
                <c:pt idx="124">
                  <c:v>-1.5123586383448058</c:v>
                </c:pt>
                <c:pt idx="125">
                  <c:v>0.54798959132812064</c:v>
                </c:pt>
                <c:pt idx="126">
                  <c:v>5.3473583347029621</c:v>
                </c:pt>
                <c:pt idx="127">
                  <c:v>3.1309233105640586</c:v>
                </c:pt>
                <c:pt idx="128">
                  <c:v>-1.7585082687241269</c:v>
                </c:pt>
                <c:pt idx="129">
                  <c:v>3.9006194077118446</c:v>
                </c:pt>
                <c:pt idx="130">
                  <c:v>-0.93306800953930202</c:v>
                </c:pt>
                <c:pt idx="131">
                  <c:v>3.4748913301073623</c:v>
                </c:pt>
                <c:pt idx="132">
                  <c:v>1.499437658775314</c:v>
                </c:pt>
                <c:pt idx="133">
                  <c:v>3.3858874431885755</c:v>
                </c:pt>
                <c:pt idx="134">
                  <c:v>0.2686258594459438</c:v>
                </c:pt>
                <c:pt idx="135">
                  <c:v>0.35178038030853365</c:v>
                </c:pt>
                <c:pt idx="136">
                  <c:v>-2.5271803778105908</c:v>
                </c:pt>
                <c:pt idx="137">
                  <c:v>4.4240986294774434</c:v>
                </c:pt>
                <c:pt idx="138">
                  <c:v>1.626476483469119</c:v>
                </c:pt>
                <c:pt idx="139">
                  <c:v>3.0358206715476266</c:v>
                </c:pt>
                <c:pt idx="140">
                  <c:v>-1.039801598174301</c:v>
                </c:pt>
                <c:pt idx="141">
                  <c:v>5.184696646153685</c:v>
                </c:pt>
                <c:pt idx="142">
                  <c:v>-1.4227686609126553</c:v>
                </c:pt>
                <c:pt idx="143">
                  <c:v>1.2726720332626791</c:v>
                </c:pt>
                <c:pt idx="144">
                  <c:v>0.89524184637730964</c:v>
                </c:pt>
                <c:pt idx="145">
                  <c:v>1.3491766134171987</c:v>
                </c:pt>
                <c:pt idx="146">
                  <c:v>3.9969401383482484</c:v>
                </c:pt>
                <c:pt idx="147">
                  <c:v>-0.19036128473463695</c:v>
                </c:pt>
                <c:pt idx="148">
                  <c:v>-1.1908448769734779</c:v>
                </c:pt>
                <c:pt idx="149">
                  <c:v>0.26486477699869787</c:v>
                </c:pt>
                <c:pt idx="150">
                  <c:v>-0.55114575611707295</c:v>
                </c:pt>
                <c:pt idx="151">
                  <c:v>-0.8132106978662218</c:v>
                </c:pt>
                <c:pt idx="152">
                  <c:v>-3.4113754790240498</c:v>
                </c:pt>
                <c:pt idx="153">
                  <c:v>-0.14786049877928853</c:v>
                </c:pt>
                <c:pt idx="154">
                  <c:v>0.55237655676625463</c:v>
                </c:pt>
                <c:pt idx="155">
                  <c:v>-0.40933241592877573</c:v>
                </c:pt>
                <c:pt idx="156">
                  <c:v>5.0581191690641427</c:v>
                </c:pt>
                <c:pt idx="157">
                  <c:v>-2.0779330821545012</c:v>
                </c:pt>
                <c:pt idx="158">
                  <c:v>0.88052800774633377</c:v>
                </c:pt>
                <c:pt idx="159">
                  <c:v>0.25096725719237473</c:v>
                </c:pt>
                <c:pt idx="160">
                  <c:v>6.0998987977947321</c:v>
                </c:pt>
                <c:pt idx="161">
                  <c:v>3.6442627618032009</c:v>
                </c:pt>
                <c:pt idx="162">
                  <c:v>-1.6457112825412648</c:v>
                </c:pt>
                <c:pt idx="163">
                  <c:v>-0.72208935268278074</c:v>
                </c:pt>
                <c:pt idx="164">
                  <c:v>2.4097655360135026</c:v>
                </c:pt>
                <c:pt idx="165">
                  <c:v>-0.13819448347534585</c:v>
                </c:pt>
                <c:pt idx="166">
                  <c:v>4.9849480793379248</c:v>
                </c:pt>
                <c:pt idx="167">
                  <c:v>4.8231348214247856</c:v>
                </c:pt>
                <c:pt idx="168">
                  <c:v>3.4587583253804963</c:v>
                </c:pt>
                <c:pt idx="169">
                  <c:v>5.2376528621301182</c:v>
                </c:pt>
                <c:pt idx="170">
                  <c:v>3.981840808483073</c:v>
                </c:pt>
                <c:pt idx="171">
                  <c:v>-0.83636412453965803</c:v>
                </c:pt>
                <c:pt idx="172">
                  <c:v>1.6651843358151586</c:v>
                </c:pt>
                <c:pt idx="173">
                  <c:v>0.87443233027117473</c:v>
                </c:pt>
                <c:pt idx="174">
                  <c:v>0.32201681597002724</c:v>
                </c:pt>
                <c:pt idx="175">
                  <c:v>3.4875269821201327</c:v>
                </c:pt>
                <c:pt idx="176">
                  <c:v>-0.5310553124266727</c:v>
                </c:pt>
                <c:pt idx="177">
                  <c:v>3.9170068069759458</c:v>
                </c:pt>
                <c:pt idx="178">
                  <c:v>4.5465221501864779</c:v>
                </c:pt>
                <c:pt idx="179">
                  <c:v>4.7918578014275548</c:v>
                </c:pt>
                <c:pt idx="180">
                  <c:v>1.0139034380323941</c:v>
                </c:pt>
                <c:pt idx="181">
                  <c:v>3.3272773916119922</c:v>
                </c:pt>
                <c:pt idx="182">
                  <c:v>-0.11277154017269274</c:v>
                </c:pt>
                <c:pt idx="183">
                  <c:v>4.5145111241462796</c:v>
                </c:pt>
                <c:pt idx="184">
                  <c:v>4.7975347867094147</c:v>
                </c:pt>
                <c:pt idx="185">
                  <c:v>0.58655011178910677</c:v>
                </c:pt>
                <c:pt idx="186">
                  <c:v>-2.1522638792174011</c:v>
                </c:pt>
                <c:pt idx="187">
                  <c:v>-1.7596854006777518</c:v>
                </c:pt>
                <c:pt idx="188">
                  <c:v>2.7894285111181136</c:v>
                </c:pt>
                <c:pt idx="189">
                  <c:v>-2.9993657722153437</c:v>
                </c:pt>
                <c:pt idx="190">
                  <c:v>-0.76307276941717617</c:v>
                </c:pt>
                <c:pt idx="191">
                  <c:v>-1.7386131436974006</c:v>
                </c:pt>
                <c:pt idx="192">
                  <c:v>4.1289946796011883</c:v>
                </c:pt>
                <c:pt idx="193">
                  <c:v>0.84246741127641256</c:v>
                </c:pt>
                <c:pt idx="194">
                  <c:v>1.6278445600284628</c:v>
                </c:pt>
                <c:pt idx="195">
                  <c:v>1.8052475720999275</c:v>
                </c:pt>
                <c:pt idx="196">
                  <c:v>2.288312007809215</c:v>
                </c:pt>
                <c:pt idx="197">
                  <c:v>-0.32776001250539349</c:v>
                </c:pt>
                <c:pt idx="198">
                  <c:v>-0.11496757297565079</c:v>
                </c:pt>
                <c:pt idx="199">
                  <c:v>-1.7516671348184694</c:v>
                </c:pt>
                <c:pt idx="200">
                  <c:v>-1.0684217423101203</c:v>
                </c:pt>
                <c:pt idx="201">
                  <c:v>4.1675166961522496</c:v>
                </c:pt>
                <c:pt idx="202">
                  <c:v>0.85712401335151422</c:v>
                </c:pt>
                <c:pt idx="203">
                  <c:v>3.9037424887153902</c:v>
                </c:pt>
                <c:pt idx="204">
                  <c:v>1.4464757489049129</c:v>
                </c:pt>
                <c:pt idx="205">
                  <c:v>0.5380811640737091</c:v>
                </c:pt>
                <c:pt idx="206">
                  <c:v>0.50902947081818939</c:v>
                </c:pt>
                <c:pt idx="207">
                  <c:v>3.977009860413057</c:v>
                </c:pt>
                <c:pt idx="208">
                  <c:v>2.0817972089729606</c:v>
                </c:pt>
                <c:pt idx="209">
                  <c:v>-2.1609531679952894</c:v>
                </c:pt>
                <c:pt idx="210">
                  <c:v>4.3702712511337918</c:v>
                </c:pt>
                <c:pt idx="211">
                  <c:v>-0.41050352320463801</c:v>
                </c:pt>
                <c:pt idx="212">
                  <c:v>-6.2618266178431109E-2</c:v>
                </c:pt>
                <c:pt idx="213">
                  <c:v>0.17055775205909454</c:v>
                </c:pt>
                <c:pt idx="214">
                  <c:v>4.5383816839770184</c:v>
                </c:pt>
                <c:pt idx="215">
                  <c:v>4.4589369634863525</c:v>
                </c:pt>
                <c:pt idx="216">
                  <c:v>3.0033007163026428</c:v>
                </c:pt>
                <c:pt idx="217">
                  <c:v>-2.7989657496382931</c:v>
                </c:pt>
                <c:pt idx="218">
                  <c:v>1.5410409685679289E-2</c:v>
                </c:pt>
                <c:pt idx="219">
                  <c:v>2.5147347693945865</c:v>
                </c:pt>
                <c:pt idx="220">
                  <c:v>3.4621434231754362</c:v>
                </c:pt>
                <c:pt idx="221">
                  <c:v>-0.74486570444635003</c:v>
                </c:pt>
                <c:pt idx="222">
                  <c:v>-2.9725137044829695</c:v>
                </c:pt>
                <c:pt idx="223">
                  <c:v>0.9774695388222977</c:v>
                </c:pt>
                <c:pt idx="224">
                  <c:v>3.724467613899745</c:v>
                </c:pt>
                <c:pt idx="225">
                  <c:v>3.0102851023385737</c:v>
                </c:pt>
                <c:pt idx="226">
                  <c:v>-7.5859515060672456E-2</c:v>
                </c:pt>
                <c:pt idx="227">
                  <c:v>3.7814952237381476</c:v>
                </c:pt>
                <c:pt idx="228">
                  <c:v>1.9405189585381177</c:v>
                </c:pt>
                <c:pt idx="229">
                  <c:v>-2.0338773306604985</c:v>
                </c:pt>
                <c:pt idx="230">
                  <c:v>-0.78101516821743877</c:v>
                </c:pt>
                <c:pt idx="231">
                  <c:v>3.9216349477641197</c:v>
                </c:pt>
                <c:pt idx="232">
                  <c:v>0.33204188270264484</c:v>
                </c:pt>
                <c:pt idx="233">
                  <c:v>-0.34524879174840428</c:v>
                </c:pt>
                <c:pt idx="234">
                  <c:v>4.42327118088979</c:v>
                </c:pt>
                <c:pt idx="235">
                  <c:v>-1.2732597089994684</c:v>
                </c:pt>
                <c:pt idx="236">
                  <c:v>0.8844860001229764</c:v>
                </c:pt>
                <c:pt idx="237">
                  <c:v>-1.4683558503922682</c:v>
                </c:pt>
                <c:pt idx="238">
                  <c:v>-0.34032092828903077</c:v>
                </c:pt>
                <c:pt idx="239">
                  <c:v>-2.3522224014457014</c:v>
                </c:pt>
                <c:pt idx="240">
                  <c:v>3.8673859093733296</c:v>
                </c:pt>
                <c:pt idx="241">
                  <c:v>2.849238927088138</c:v>
                </c:pt>
                <c:pt idx="242">
                  <c:v>1.8960232341435108</c:v>
                </c:pt>
                <c:pt idx="243">
                  <c:v>-0.97306885368273188</c:v>
                </c:pt>
                <c:pt idx="244">
                  <c:v>3.7837584559240272</c:v>
                </c:pt>
                <c:pt idx="245">
                  <c:v>-1.9650333445703696</c:v>
                </c:pt>
                <c:pt idx="246">
                  <c:v>0.47569195451308516</c:v>
                </c:pt>
                <c:pt idx="247">
                  <c:v>0.45808642542676659</c:v>
                </c:pt>
                <c:pt idx="248">
                  <c:v>-1.3188044339446638</c:v>
                </c:pt>
                <c:pt idx="249">
                  <c:v>3.0932403601006069</c:v>
                </c:pt>
                <c:pt idx="250">
                  <c:v>3.5447496577076083</c:v>
                </c:pt>
                <c:pt idx="251">
                  <c:v>1.3969072789912724</c:v>
                </c:pt>
                <c:pt idx="252">
                  <c:v>8.4981925039228093E-2</c:v>
                </c:pt>
                <c:pt idx="253">
                  <c:v>-1.0757640103834063</c:v>
                </c:pt>
                <c:pt idx="254">
                  <c:v>2.3477059842388925</c:v>
                </c:pt>
                <c:pt idx="255">
                  <c:v>-0.94749218989137152</c:v>
                </c:pt>
                <c:pt idx="256">
                  <c:v>-1.700717195856366</c:v>
                </c:pt>
                <c:pt idx="257">
                  <c:v>2.5132944957930667</c:v>
                </c:pt>
                <c:pt idx="258">
                  <c:v>-9.3572702893365958E-2</c:v>
                </c:pt>
                <c:pt idx="259">
                  <c:v>2.8292502336144132</c:v>
                </c:pt>
                <c:pt idx="260">
                  <c:v>-0.54072638466616718</c:v>
                </c:pt>
                <c:pt idx="261">
                  <c:v>4.4061278782140247</c:v>
                </c:pt>
                <c:pt idx="262">
                  <c:v>-1.7167646852384453</c:v>
                </c:pt>
                <c:pt idx="263">
                  <c:v>-1.431643816514331</c:v>
                </c:pt>
                <c:pt idx="264">
                  <c:v>2.068137222276019</c:v>
                </c:pt>
                <c:pt idx="265">
                  <c:v>0.20072063837898915</c:v>
                </c:pt>
                <c:pt idx="266">
                  <c:v>0.16511906721308889</c:v>
                </c:pt>
                <c:pt idx="267">
                  <c:v>0.56780558761981503</c:v>
                </c:pt>
                <c:pt idx="268">
                  <c:v>0.29575920359097557</c:v>
                </c:pt>
                <c:pt idx="269">
                  <c:v>-4.0865190763035146</c:v>
                </c:pt>
                <c:pt idx="270">
                  <c:v>0.62610708089233547</c:v>
                </c:pt>
                <c:pt idx="271">
                  <c:v>3.9197647860031193</c:v>
                </c:pt>
                <c:pt idx="272">
                  <c:v>6.1771517424476832</c:v>
                </c:pt>
                <c:pt idx="273">
                  <c:v>1.9662948141294796</c:v>
                </c:pt>
                <c:pt idx="274">
                  <c:v>-4.1865763696262374E-2</c:v>
                </c:pt>
                <c:pt idx="275">
                  <c:v>2.8487322985513321</c:v>
                </c:pt>
                <c:pt idx="276">
                  <c:v>3.714549393985402</c:v>
                </c:pt>
                <c:pt idx="277">
                  <c:v>-4.4583196547013095</c:v>
                </c:pt>
                <c:pt idx="278">
                  <c:v>4.5099980458164044</c:v>
                </c:pt>
                <c:pt idx="279">
                  <c:v>0.14197339601296494</c:v>
                </c:pt>
                <c:pt idx="280">
                  <c:v>1.5850095013623631</c:v>
                </c:pt>
                <c:pt idx="281">
                  <c:v>0.12955206210796763</c:v>
                </c:pt>
                <c:pt idx="282">
                  <c:v>1.3468381718972386</c:v>
                </c:pt>
                <c:pt idx="283">
                  <c:v>0.98074853900273284</c:v>
                </c:pt>
                <c:pt idx="284">
                  <c:v>0.87935340367172454</c:v>
                </c:pt>
                <c:pt idx="285">
                  <c:v>-0.99466471214221697</c:v>
                </c:pt>
                <c:pt idx="286">
                  <c:v>7.2229488726201371E-2</c:v>
                </c:pt>
                <c:pt idx="287">
                  <c:v>-0.67301561661501041</c:v>
                </c:pt>
                <c:pt idx="288">
                  <c:v>-0.88820528715102087</c:v>
                </c:pt>
                <c:pt idx="289">
                  <c:v>0.61707043394869954</c:v>
                </c:pt>
                <c:pt idx="290">
                  <c:v>4.1151210647659759</c:v>
                </c:pt>
                <c:pt idx="291">
                  <c:v>4.5148329184851672</c:v>
                </c:pt>
                <c:pt idx="292">
                  <c:v>4.7556817865377186</c:v>
                </c:pt>
                <c:pt idx="293">
                  <c:v>3.5111965572497081</c:v>
                </c:pt>
                <c:pt idx="294">
                  <c:v>-0.80244018513936421</c:v>
                </c:pt>
                <c:pt idx="295">
                  <c:v>5.0893899042093977</c:v>
                </c:pt>
                <c:pt idx="296">
                  <c:v>3.6872643588042484</c:v>
                </c:pt>
                <c:pt idx="297">
                  <c:v>2.8744647716637548</c:v>
                </c:pt>
                <c:pt idx="298">
                  <c:v>2.6981314604052349</c:v>
                </c:pt>
                <c:pt idx="299">
                  <c:v>1.2168058347753661</c:v>
                </c:pt>
                <c:pt idx="300">
                  <c:v>-3.4616367652045708</c:v>
                </c:pt>
                <c:pt idx="301">
                  <c:v>-3.323171294596388</c:v>
                </c:pt>
                <c:pt idx="302">
                  <c:v>-3.1847058239882049</c:v>
                </c:pt>
                <c:pt idx="303">
                  <c:v>-3.0462403533800222</c:v>
                </c:pt>
                <c:pt idx="304">
                  <c:v>-2.9077748827718395</c:v>
                </c:pt>
                <c:pt idx="305">
                  <c:v>-2.7693094121636568</c:v>
                </c:pt>
                <c:pt idx="306">
                  <c:v>-2.6308439415554736</c:v>
                </c:pt>
                <c:pt idx="307">
                  <c:v>-2.4923784709472909</c:v>
                </c:pt>
                <c:pt idx="308">
                  <c:v>-2.3539130003391082</c:v>
                </c:pt>
                <c:pt idx="309">
                  <c:v>-2.2154475297309251</c:v>
                </c:pt>
                <c:pt idx="310">
                  <c:v>-2.0769820591227424</c:v>
                </c:pt>
                <c:pt idx="311">
                  <c:v>-1.9385165885145597</c:v>
                </c:pt>
                <c:pt idx="312">
                  <c:v>-1.8000511179063767</c:v>
                </c:pt>
                <c:pt idx="313">
                  <c:v>-1.661585647298194</c:v>
                </c:pt>
                <c:pt idx="314">
                  <c:v>-1.5231201766900111</c:v>
                </c:pt>
                <c:pt idx="315">
                  <c:v>-1.3846547060818284</c:v>
                </c:pt>
                <c:pt idx="316">
                  <c:v>-1.2461892354736457</c:v>
                </c:pt>
                <c:pt idx="317">
                  <c:v>-1.1077237648654625</c:v>
                </c:pt>
                <c:pt idx="318">
                  <c:v>-0.96925829425727983</c:v>
                </c:pt>
                <c:pt idx="319">
                  <c:v>-0.83079282364909668</c:v>
                </c:pt>
                <c:pt idx="320">
                  <c:v>-0.69232735304091397</c:v>
                </c:pt>
                <c:pt idx="321">
                  <c:v>-0.55386188243273171</c:v>
                </c:pt>
                <c:pt idx="322">
                  <c:v>-0.41539641182454856</c:v>
                </c:pt>
                <c:pt idx="323">
                  <c:v>-0.27693094121636586</c:v>
                </c:pt>
                <c:pt idx="324">
                  <c:v>-0.13846547060818271</c:v>
                </c:pt>
                <c:pt idx="325">
                  <c:v>0</c:v>
                </c:pt>
                <c:pt idx="326">
                  <c:v>0.13846547060818271</c:v>
                </c:pt>
                <c:pt idx="327">
                  <c:v>0.27693094121636541</c:v>
                </c:pt>
                <c:pt idx="328">
                  <c:v>0.41539641182454856</c:v>
                </c:pt>
                <c:pt idx="329">
                  <c:v>0.55386188243273127</c:v>
                </c:pt>
                <c:pt idx="330">
                  <c:v>0.69232735304091397</c:v>
                </c:pt>
                <c:pt idx="331">
                  <c:v>0.83079282364909668</c:v>
                </c:pt>
                <c:pt idx="332">
                  <c:v>0.96925829425727938</c:v>
                </c:pt>
                <c:pt idx="333">
                  <c:v>1.107723764865463</c:v>
                </c:pt>
                <c:pt idx="334">
                  <c:v>1.2461892354736457</c:v>
                </c:pt>
                <c:pt idx="335">
                  <c:v>1.3846547060818284</c:v>
                </c:pt>
                <c:pt idx="336">
                  <c:v>1.5231201766900111</c:v>
                </c:pt>
                <c:pt idx="337">
                  <c:v>1.6615856472981938</c:v>
                </c:pt>
                <c:pt idx="338">
                  <c:v>1.8000511179063774</c:v>
                </c:pt>
                <c:pt idx="339">
                  <c:v>1.9385165885145592</c:v>
                </c:pt>
                <c:pt idx="340">
                  <c:v>2.0769820591227428</c:v>
                </c:pt>
                <c:pt idx="341">
                  <c:v>2.2154475297309255</c:v>
                </c:pt>
                <c:pt idx="342">
                  <c:v>2.3539130003391073</c:v>
                </c:pt>
                <c:pt idx="343">
                  <c:v>2.4923784709472909</c:v>
                </c:pt>
                <c:pt idx="344">
                  <c:v>2.6308439415554736</c:v>
                </c:pt>
                <c:pt idx="345">
                  <c:v>2.7693094121636572</c:v>
                </c:pt>
                <c:pt idx="346">
                  <c:v>2.907774882771839</c:v>
                </c:pt>
                <c:pt idx="347">
                  <c:v>3.0462403533800217</c:v>
                </c:pt>
                <c:pt idx="348">
                  <c:v>3.1847058239882053</c:v>
                </c:pt>
                <c:pt idx="349">
                  <c:v>3.323171294596388</c:v>
                </c:pt>
                <c:pt idx="350">
                  <c:v>3.4616367652045716</c:v>
                </c:pt>
                <c:pt idx="351">
                  <c:v>1.5522531693191839</c:v>
                </c:pt>
                <c:pt idx="352">
                  <c:v>1.6501630425464167</c:v>
                </c:pt>
                <c:pt idx="353">
                  <c:v>1.748072915773649</c:v>
                </c:pt>
                <c:pt idx="354">
                  <c:v>1.8459827890008818</c:v>
                </c:pt>
                <c:pt idx="355">
                  <c:v>1.9438926622281145</c:v>
                </c:pt>
                <c:pt idx="356">
                  <c:v>2.0418025354553473</c:v>
                </c:pt>
                <c:pt idx="357">
                  <c:v>2.1397124086825796</c:v>
                </c:pt>
                <c:pt idx="358">
                  <c:v>2.2376222819098124</c:v>
                </c:pt>
                <c:pt idx="359">
                  <c:v>2.3355321551370452</c:v>
                </c:pt>
                <c:pt idx="360">
                  <c:v>2.4334420283642775</c:v>
                </c:pt>
                <c:pt idx="361">
                  <c:v>2.5313519015915102</c:v>
                </c:pt>
                <c:pt idx="362">
                  <c:v>2.629261774818743</c:v>
                </c:pt>
                <c:pt idx="363">
                  <c:v>2.7271716480459753</c:v>
                </c:pt>
                <c:pt idx="364">
                  <c:v>2.8250815212732086</c:v>
                </c:pt>
                <c:pt idx="365">
                  <c:v>2.9229913945004409</c:v>
                </c:pt>
                <c:pt idx="366">
                  <c:v>3.0209012677276736</c:v>
                </c:pt>
                <c:pt idx="367">
                  <c:v>3.1188111409549064</c:v>
                </c:pt>
                <c:pt idx="368">
                  <c:v>3.2167210141821387</c:v>
                </c:pt>
                <c:pt idx="369">
                  <c:v>3.3146308874093715</c:v>
                </c:pt>
                <c:pt idx="370">
                  <c:v>3.4125407606366043</c:v>
                </c:pt>
                <c:pt idx="371">
                  <c:v>3.5104506338638366</c:v>
                </c:pt>
                <c:pt idx="372">
                  <c:v>3.6083605070910694</c:v>
                </c:pt>
                <c:pt idx="373">
                  <c:v>3.7062703803183021</c:v>
                </c:pt>
                <c:pt idx="374">
                  <c:v>3.8041802535455349</c:v>
                </c:pt>
                <c:pt idx="375">
                  <c:v>3.9020901267727672</c:v>
                </c:pt>
                <c:pt idx="376">
                  <c:v>4</c:v>
                </c:pt>
                <c:pt idx="377">
                  <c:v>4.0979098732272323</c:v>
                </c:pt>
                <c:pt idx="378">
                  <c:v>4.1958197464544646</c:v>
                </c:pt>
                <c:pt idx="379">
                  <c:v>4.2937296196816979</c:v>
                </c:pt>
                <c:pt idx="380">
                  <c:v>4.3916394929089302</c:v>
                </c:pt>
                <c:pt idx="381">
                  <c:v>4.4895493661361634</c:v>
                </c:pt>
                <c:pt idx="382">
                  <c:v>4.5874592393633957</c:v>
                </c:pt>
                <c:pt idx="383">
                  <c:v>4.685369112590628</c:v>
                </c:pt>
                <c:pt idx="384">
                  <c:v>4.7832789858178613</c:v>
                </c:pt>
                <c:pt idx="385">
                  <c:v>4.8811888590450936</c:v>
                </c:pt>
                <c:pt idx="386">
                  <c:v>4.9790987322723268</c:v>
                </c:pt>
                <c:pt idx="387">
                  <c:v>5.0770086054995591</c:v>
                </c:pt>
                <c:pt idx="388">
                  <c:v>5.1749184787267914</c:v>
                </c:pt>
                <c:pt idx="389">
                  <c:v>5.2728283519540238</c:v>
                </c:pt>
                <c:pt idx="390">
                  <c:v>5.370738225181257</c:v>
                </c:pt>
                <c:pt idx="391">
                  <c:v>5.4686480984084902</c:v>
                </c:pt>
                <c:pt idx="392">
                  <c:v>5.5665579716357225</c:v>
                </c:pt>
                <c:pt idx="393">
                  <c:v>5.6644678448629548</c:v>
                </c:pt>
                <c:pt idx="394">
                  <c:v>5.7623777180901872</c:v>
                </c:pt>
                <c:pt idx="395">
                  <c:v>5.8602875913174204</c:v>
                </c:pt>
                <c:pt idx="396">
                  <c:v>5.9581974645446527</c:v>
                </c:pt>
                <c:pt idx="397">
                  <c:v>6.0561073377718859</c:v>
                </c:pt>
                <c:pt idx="398">
                  <c:v>6.1540172109991182</c:v>
                </c:pt>
                <c:pt idx="399">
                  <c:v>6.2519270842263506</c:v>
                </c:pt>
                <c:pt idx="400">
                  <c:v>6.3498369574535838</c:v>
                </c:pt>
                <c:pt idx="401">
                  <c:v>6.4477468306808161</c:v>
                </c:pt>
              </c:numCache>
            </c:numRef>
          </c:xVal>
          <c:yVal>
            <c:numRef>
              <c:f>'Simulation data'!$I$21:$I$422</c:f>
              <c:numCache>
                <c:formatCode>General</c:formatCode>
                <c:ptCount val="40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0.86540916342362273</c:v>
                </c:pt>
                <c:pt idx="301">
                  <c:v>0.18968872295124106</c:v>
                </c:pt>
                <c:pt idx="302">
                  <c:v>-0.1011823546975964</c:v>
                </c:pt>
                <c:pt idx="303">
                  <c:v>-0.3259669695248737</c:v>
                </c:pt>
                <c:pt idx="304">
                  <c:v>-0.515393297726364</c:v>
                </c:pt>
                <c:pt idx="305">
                  <c:v>-0.68146714845449274</c:v>
                </c:pt>
                <c:pt idx="306">
                  <c:v>-0.83039025330798533</c:v>
                </c:pt>
                <c:pt idx="307">
                  <c:v>-0.96586830195365991</c:v>
                </c:pt>
                <c:pt idx="308">
                  <c:v>-1.0903263612263769</c:v>
                </c:pt>
                <c:pt idx="309">
                  <c:v>-1.2054534915227126</c:v>
                </c:pt>
                <c:pt idx="310">
                  <c:v>-1.3124804872131908</c:v>
                </c:pt>
                <c:pt idx="311">
                  <c:v>-1.4123351664505728</c:v>
                </c:pt>
                <c:pt idx="312">
                  <c:v>-1.5057354064803137</c:v>
                </c:pt>
                <c:pt idx="313">
                  <c:v>-1.5932479633754308</c:v>
                </c:pt>
                <c:pt idx="314">
                  <c:v>-1.6753272935993833</c:v>
                </c:pt>
                <c:pt idx="315">
                  <c:v>-1.752342087618485</c:v>
                </c:pt>
                <c:pt idx="316">
                  <c:v>-1.8245939315643085</c:v>
                </c:pt>
                <c:pt idx="317">
                  <c:v>-1.8923307431588989</c:v>
                </c:pt>
                <c:pt idx="318">
                  <c:v>-1.9557566288283317</c:v>
                </c:pt>
                <c:pt idx="319">
                  <c:v>-2.0150392202236249</c:v>
                </c:pt>
                <c:pt idx="320">
                  <c:v>-2.0703151884763908</c:v>
                </c:pt>
                <c:pt idx="321">
                  <c:v>-2.1216944071138037</c:v>
                </c:pt>
                <c:pt idx="322">
                  <c:v>-2.1692630864058229</c:v>
                </c:pt>
                <c:pt idx="323">
                  <c:v>-2.2130861024693864</c:v>
                </c:pt>
                <c:pt idx="324">
                  <c:v>-2.253208675561166</c:v>
                </c:pt>
                <c:pt idx="325">
                  <c:v>-2.2896575024923451</c:v>
                </c:pt>
                <c:pt idx="326">
                  <c:v>-2.3224414108652569</c:v>
                </c:pt>
                <c:pt idx="327">
                  <c:v>-2.3515515730775696</c:v>
                </c:pt>
                <c:pt idx="328">
                  <c:v>-2.3769612923180974</c:v>
                </c:pt>
                <c:pt idx="329">
                  <c:v>-2.3986253483301692</c:v>
                </c:pt>
                <c:pt idx="330">
                  <c:v>-2.4164788649968481</c:v>
                </c:pt>
                <c:pt idx="331">
                  <c:v>-2.430435632048173</c:v>
                </c:pt>
                <c:pt idx="332">
                  <c:v>-2.4403857759569716</c:v>
                </c:pt>
                <c:pt idx="333">
                  <c:v>-2.44619262559163</c:v>
                </c:pt>
                <c:pt idx="334">
                  <c:v>-2.4476885493011311</c:v>
                </c:pt>
                <c:pt idx="335">
                  <c:v>-2.4446694406593994</c:v>
                </c:pt>
                <c:pt idx="336">
                  <c:v>-2.4368873819443886</c:v>
                </c:pt>
                <c:pt idx="337">
                  <c:v>-2.424040787024528</c:v>
                </c:pt>
                <c:pt idx="338">
                  <c:v>-2.4057609654335019</c:v>
                </c:pt>
                <c:pt idx="339">
                  <c:v>-2.3815934607078528</c:v>
                </c:pt>
                <c:pt idx="340">
                  <c:v>-2.3509715167745617</c:v>
                </c:pt>
                <c:pt idx="341">
                  <c:v>-2.3131772563881752</c:v>
                </c:pt>
                <c:pt idx="342">
                  <c:v>-2.2672828613959313</c:v>
                </c:pt>
                <c:pt idx="343">
                  <c:v>-2.2120575374273055</c:v>
                </c:pt>
                <c:pt idx="344">
                  <c:v>-2.1458122240857223</c:v>
                </c:pt>
                <c:pt idx="345">
                  <c:v>-2.0661218545363207</c:v>
                </c:pt>
                <c:pt idx="346">
                  <c:v>-1.9692807391122842</c:v>
                </c:pt>
                <c:pt idx="347">
                  <c:v>-1.849087146214885</c:v>
                </c:pt>
                <c:pt idx="348">
                  <c:v>-1.6935352666916987</c:v>
                </c:pt>
                <c:pt idx="349">
                  <c:v>-1.4718969243469529</c:v>
                </c:pt>
                <c:pt idx="350">
                  <c:v>-0.86540924705618272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'Simulation data'!$J$20</c:f>
              <c:strCache>
                <c:ptCount val="1"/>
                <c:pt idx="0">
                  <c:v>Ellipsoid.2a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'Simulation data'!$C$21:$C$422</c:f>
              <c:numCache>
                <c:formatCode>General</c:formatCode>
                <c:ptCount val="402"/>
                <c:pt idx="0">
                  <c:v>-2.1458090045514067</c:v>
                </c:pt>
                <c:pt idx="1">
                  <c:v>3.2321360045660699</c:v>
                </c:pt>
                <c:pt idx="2">
                  <c:v>4.9401718757169304</c:v>
                </c:pt>
                <c:pt idx="3">
                  <c:v>3.8101809249088845</c:v>
                </c:pt>
                <c:pt idx="4">
                  <c:v>-4.9145426282480267E-2</c:v>
                </c:pt>
                <c:pt idx="5">
                  <c:v>-2.5228432546258131E-2</c:v>
                </c:pt>
                <c:pt idx="6">
                  <c:v>-0.29220078622149359</c:v>
                </c:pt>
                <c:pt idx="7">
                  <c:v>0.49613641368855654</c:v>
                </c:pt>
                <c:pt idx="8">
                  <c:v>-0.56473713272988635</c:v>
                </c:pt>
                <c:pt idx="9">
                  <c:v>4.2390780799608194</c:v>
                </c:pt>
                <c:pt idx="10">
                  <c:v>-1.1607911976569065</c:v>
                </c:pt>
                <c:pt idx="11">
                  <c:v>4.3915782617710164</c:v>
                </c:pt>
                <c:pt idx="12">
                  <c:v>-1.6970819022287003</c:v>
                </c:pt>
                <c:pt idx="13">
                  <c:v>-1.1039833758771549</c:v>
                </c:pt>
                <c:pt idx="14">
                  <c:v>3.8594640680730765</c:v>
                </c:pt>
                <c:pt idx="15">
                  <c:v>-1.5888254252359202</c:v>
                </c:pt>
                <c:pt idx="16">
                  <c:v>3.1700254907721344</c:v>
                </c:pt>
                <c:pt idx="17">
                  <c:v>4.5703129876344226</c:v>
                </c:pt>
                <c:pt idx="18">
                  <c:v>3.5076650710607127</c:v>
                </c:pt>
                <c:pt idx="19">
                  <c:v>4.5448847299734689</c:v>
                </c:pt>
                <c:pt idx="20">
                  <c:v>0.62275887877545733</c:v>
                </c:pt>
                <c:pt idx="21">
                  <c:v>-2.8518153123804284</c:v>
                </c:pt>
                <c:pt idx="22">
                  <c:v>3.3959342300941153</c:v>
                </c:pt>
                <c:pt idx="23">
                  <c:v>4.8282492711948386</c:v>
                </c:pt>
                <c:pt idx="24">
                  <c:v>-2.4425088894226077</c:v>
                </c:pt>
                <c:pt idx="25">
                  <c:v>-1.2016605648263705</c:v>
                </c:pt>
                <c:pt idx="26">
                  <c:v>-1.9836222454864094</c:v>
                </c:pt>
                <c:pt idx="27">
                  <c:v>1.6622592288218931</c:v>
                </c:pt>
                <c:pt idx="28">
                  <c:v>3.6762867759521787</c:v>
                </c:pt>
                <c:pt idx="29">
                  <c:v>0.24139067967495381</c:v>
                </c:pt>
                <c:pt idx="30">
                  <c:v>3.6844118986422254</c:v>
                </c:pt>
                <c:pt idx="31">
                  <c:v>4.1239662011296749</c:v>
                </c:pt>
                <c:pt idx="32">
                  <c:v>4.0536739765063983</c:v>
                </c:pt>
                <c:pt idx="33">
                  <c:v>0.39334960106432287</c:v>
                </c:pt>
                <c:pt idx="34">
                  <c:v>-0.15681921393749493</c:v>
                </c:pt>
                <c:pt idx="35">
                  <c:v>3.3177088846235838</c:v>
                </c:pt>
                <c:pt idx="36">
                  <c:v>-1.8021770233629841</c:v>
                </c:pt>
                <c:pt idx="37">
                  <c:v>-3.9052468460126173</c:v>
                </c:pt>
                <c:pt idx="38">
                  <c:v>-1.9755702888926949</c:v>
                </c:pt>
                <c:pt idx="39">
                  <c:v>2.2980267342775349</c:v>
                </c:pt>
                <c:pt idx="40">
                  <c:v>-0.24628108181306216</c:v>
                </c:pt>
                <c:pt idx="41">
                  <c:v>4.8256020158874122</c:v>
                </c:pt>
                <c:pt idx="42">
                  <c:v>2.3485839654435177</c:v>
                </c:pt>
                <c:pt idx="43">
                  <c:v>0.15723997490911548</c:v>
                </c:pt>
                <c:pt idx="44">
                  <c:v>3.4724211971263492</c:v>
                </c:pt>
                <c:pt idx="45">
                  <c:v>1.2562848598038634</c:v>
                </c:pt>
                <c:pt idx="46">
                  <c:v>-0.90484495195411307</c:v>
                </c:pt>
                <c:pt idx="47">
                  <c:v>3.240484936416439</c:v>
                </c:pt>
                <c:pt idx="48">
                  <c:v>-0.31959727481456074</c:v>
                </c:pt>
                <c:pt idx="49">
                  <c:v>4.2799461829071008</c:v>
                </c:pt>
                <c:pt idx="50">
                  <c:v>-1.1384909306303921</c:v>
                </c:pt>
                <c:pt idx="51">
                  <c:v>1.0213065931182101</c:v>
                </c:pt>
                <c:pt idx="52">
                  <c:v>3.9301409054848109</c:v>
                </c:pt>
                <c:pt idx="53">
                  <c:v>4.9510889912519138</c:v>
                </c:pt>
                <c:pt idx="54">
                  <c:v>-0.36732403248139234</c:v>
                </c:pt>
                <c:pt idx="55">
                  <c:v>0.4457258867229475</c:v>
                </c:pt>
                <c:pt idx="56">
                  <c:v>-0.55964932491555897</c:v>
                </c:pt>
                <c:pt idx="57">
                  <c:v>-1.0201682172990389</c:v>
                </c:pt>
                <c:pt idx="58">
                  <c:v>3.5100407190048366</c:v>
                </c:pt>
                <c:pt idx="59">
                  <c:v>1.3614527248869044</c:v>
                </c:pt>
                <c:pt idx="60">
                  <c:v>-0.59891529283364242</c:v>
                </c:pt>
                <c:pt idx="61">
                  <c:v>5.9120690826819189</c:v>
                </c:pt>
                <c:pt idx="62">
                  <c:v>0.22127109717878579</c:v>
                </c:pt>
                <c:pt idx="63">
                  <c:v>4.1715147059341415</c:v>
                </c:pt>
                <c:pt idx="64">
                  <c:v>3.3106107239140123</c:v>
                </c:pt>
                <c:pt idx="65">
                  <c:v>-0.28871106262617879</c:v>
                </c:pt>
                <c:pt idx="66">
                  <c:v>-2.1343432574844834</c:v>
                </c:pt>
                <c:pt idx="67">
                  <c:v>0.14201055694206449</c:v>
                </c:pt>
                <c:pt idx="68">
                  <c:v>0.37144709870516529</c:v>
                </c:pt>
                <c:pt idx="69">
                  <c:v>-0.44318579492173782</c:v>
                </c:pt>
                <c:pt idx="70">
                  <c:v>4.8876143904644413</c:v>
                </c:pt>
                <c:pt idx="71">
                  <c:v>4.1713064890596883</c:v>
                </c:pt>
                <c:pt idx="72">
                  <c:v>3.0814492820305137</c:v>
                </c:pt>
                <c:pt idx="73">
                  <c:v>-0.57042673204354366</c:v>
                </c:pt>
                <c:pt idx="74">
                  <c:v>-0.88886142354828301</c:v>
                </c:pt>
                <c:pt idx="75">
                  <c:v>-1.1555559473347294</c:v>
                </c:pt>
                <c:pt idx="76">
                  <c:v>4.2349234216038658</c:v>
                </c:pt>
                <c:pt idx="77">
                  <c:v>3.7197040972061362</c:v>
                </c:pt>
                <c:pt idx="78">
                  <c:v>1.4042502280079001</c:v>
                </c:pt>
                <c:pt idx="79">
                  <c:v>2.7793878146401294</c:v>
                </c:pt>
                <c:pt idx="80">
                  <c:v>-1.7063278638967669</c:v>
                </c:pt>
                <c:pt idx="81">
                  <c:v>1.3727385994968342</c:v>
                </c:pt>
                <c:pt idx="82">
                  <c:v>1.758473762463588</c:v>
                </c:pt>
                <c:pt idx="83">
                  <c:v>0.29467755939836388</c:v>
                </c:pt>
                <c:pt idx="84">
                  <c:v>-1.9357674185352813</c:v>
                </c:pt>
                <c:pt idx="85">
                  <c:v>0.62762516282825753</c:v>
                </c:pt>
                <c:pt idx="86">
                  <c:v>2.4107909336845004</c:v>
                </c:pt>
                <c:pt idx="87">
                  <c:v>3.5939313760496394</c:v>
                </c:pt>
                <c:pt idx="88">
                  <c:v>3.5471281872592058</c:v>
                </c:pt>
                <c:pt idx="89">
                  <c:v>3.048304391571047</c:v>
                </c:pt>
                <c:pt idx="90">
                  <c:v>-1.0544062572955941</c:v>
                </c:pt>
                <c:pt idx="91">
                  <c:v>2.7592062241121851</c:v>
                </c:pt>
                <c:pt idx="92">
                  <c:v>1.2754170863365852</c:v>
                </c:pt>
                <c:pt idx="93">
                  <c:v>2.9040260787492445</c:v>
                </c:pt>
                <c:pt idx="94">
                  <c:v>3.3948529629583954</c:v>
                </c:pt>
                <c:pt idx="95">
                  <c:v>-3.3431318151230993</c:v>
                </c:pt>
                <c:pt idx="96">
                  <c:v>4.2727774298961796</c:v>
                </c:pt>
                <c:pt idx="97">
                  <c:v>1.3541180519689362</c:v>
                </c:pt>
                <c:pt idx="98">
                  <c:v>0.30019533497747464</c:v>
                </c:pt>
                <c:pt idx="99">
                  <c:v>1.1257274804080926</c:v>
                </c:pt>
                <c:pt idx="100">
                  <c:v>2.9781660832863306</c:v>
                </c:pt>
                <c:pt idx="101">
                  <c:v>1.5839415843550908</c:v>
                </c:pt>
                <c:pt idx="102">
                  <c:v>3.8674815740734392</c:v>
                </c:pt>
                <c:pt idx="103">
                  <c:v>1.4362511649543541</c:v>
                </c:pt>
                <c:pt idx="104">
                  <c:v>4.3096387552989333</c:v>
                </c:pt>
                <c:pt idx="105">
                  <c:v>2.8125875373755322</c:v>
                </c:pt>
                <c:pt idx="106">
                  <c:v>-0.61706221073473144</c:v>
                </c:pt>
                <c:pt idx="107">
                  <c:v>1.04791529005682</c:v>
                </c:pt>
                <c:pt idx="108">
                  <c:v>4.0884507933670537</c:v>
                </c:pt>
                <c:pt idx="109">
                  <c:v>-8.5189723514257507E-2</c:v>
                </c:pt>
                <c:pt idx="110">
                  <c:v>1.3800556151792684</c:v>
                </c:pt>
                <c:pt idx="111">
                  <c:v>-0.7806217036401889</c:v>
                </c:pt>
                <c:pt idx="112">
                  <c:v>-0.82405539923198701</c:v>
                </c:pt>
                <c:pt idx="113">
                  <c:v>-6.4358388760818189E-2</c:v>
                </c:pt>
                <c:pt idx="114">
                  <c:v>5.0239082121696512</c:v>
                </c:pt>
                <c:pt idx="115">
                  <c:v>5.5109696315173951</c:v>
                </c:pt>
                <c:pt idx="116">
                  <c:v>4.0711792825538788</c:v>
                </c:pt>
                <c:pt idx="117">
                  <c:v>-0.97636964584698305</c:v>
                </c:pt>
                <c:pt idx="118">
                  <c:v>2.446753725302909</c:v>
                </c:pt>
                <c:pt idx="119">
                  <c:v>-0.65213511293938364</c:v>
                </c:pt>
                <c:pt idx="120">
                  <c:v>4.4514112231459633</c:v>
                </c:pt>
                <c:pt idx="121">
                  <c:v>1.6512116879707235</c:v>
                </c:pt>
                <c:pt idx="122">
                  <c:v>0.98982188847871233</c:v>
                </c:pt>
                <c:pt idx="123">
                  <c:v>-2.1385232596249035</c:v>
                </c:pt>
                <c:pt idx="124">
                  <c:v>-1.5123586383448058</c:v>
                </c:pt>
                <c:pt idx="125">
                  <c:v>0.54798959132812064</c:v>
                </c:pt>
                <c:pt idx="126">
                  <c:v>5.3473583347029621</c:v>
                </c:pt>
                <c:pt idx="127">
                  <c:v>3.1309233105640586</c:v>
                </c:pt>
                <c:pt idx="128">
                  <c:v>-1.7585082687241269</c:v>
                </c:pt>
                <c:pt idx="129">
                  <c:v>3.9006194077118446</c:v>
                </c:pt>
                <c:pt idx="130">
                  <c:v>-0.93306800953930202</c:v>
                </c:pt>
                <c:pt idx="131">
                  <c:v>3.4748913301073623</c:v>
                </c:pt>
                <c:pt idx="132">
                  <c:v>1.499437658775314</c:v>
                </c:pt>
                <c:pt idx="133">
                  <c:v>3.3858874431885755</c:v>
                </c:pt>
                <c:pt idx="134">
                  <c:v>0.2686258594459438</c:v>
                </c:pt>
                <c:pt idx="135">
                  <c:v>0.35178038030853365</c:v>
                </c:pt>
                <c:pt idx="136">
                  <c:v>-2.5271803778105908</c:v>
                </c:pt>
                <c:pt idx="137">
                  <c:v>4.4240986294774434</c:v>
                </c:pt>
                <c:pt idx="138">
                  <c:v>1.626476483469119</c:v>
                </c:pt>
                <c:pt idx="139">
                  <c:v>3.0358206715476266</c:v>
                </c:pt>
                <c:pt idx="140">
                  <c:v>-1.039801598174301</c:v>
                </c:pt>
                <c:pt idx="141">
                  <c:v>5.184696646153685</c:v>
                </c:pt>
                <c:pt idx="142">
                  <c:v>-1.4227686609126553</c:v>
                </c:pt>
                <c:pt idx="143">
                  <c:v>1.2726720332626791</c:v>
                </c:pt>
                <c:pt idx="144">
                  <c:v>0.89524184637730964</c:v>
                </c:pt>
                <c:pt idx="145">
                  <c:v>1.3491766134171987</c:v>
                </c:pt>
                <c:pt idx="146">
                  <c:v>3.9969401383482484</c:v>
                </c:pt>
                <c:pt idx="147">
                  <c:v>-0.19036128473463695</c:v>
                </c:pt>
                <c:pt idx="148">
                  <c:v>-1.1908448769734779</c:v>
                </c:pt>
                <c:pt idx="149">
                  <c:v>0.26486477699869787</c:v>
                </c:pt>
                <c:pt idx="150">
                  <c:v>-0.55114575611707295</c:v>
                </c:pt>
                <c:pt idx="151">
                  <c:v>-0.8132106978662218</c:v>
                </c:pt>
                <c:pt idx="152">
                  <c:v>-3.4113754790240498</c:v>
                </c:pt>
                <c:pt idx="153">
                  <c:v>-0.14786049877928853</c:v>
                </c:pt>
                <c:pt idx="154">
                  <c:v>0.55237655676625463</c:v>
                </c:pt>
                <c:pt idx="155">
                  <c:v>-0.40933241592877573</c:v>
                </c:pt>
                <c:pt idx="156">
                  <c:v>5.0581191690641427</c:v>
                </c:pt>
                <c:pt idx="157">
                  <c:v>-2.0779330821545012</c:v>
                </c:pt>
                <c:pt idx="158">
                  <c:v>0.88052800774633377</c:v>
                </c:pt>
                <c:pt idx="159">
                  <c:v>0.25096725719237473</c:v>
                </c:pt>
                <c:pt idx="160">
                  <c:v>6.0998987977947321</c:v>
                </c:pt>
                <c:pt idx="161">
                  <c:v>3.6442627618032009</c:v>
                </c:pt>
                <c:pt idx="162">
                  <c:v>-1.6457112825412648</c:v>
                </c:pt>
                <c:pt idx="163">
                  <c:v>-0.72208935268278074</c:v>
                </c:pt>
                <c:pt idx="164">
                  <c:v>2.4097655360135026</c:v>
                </c:pt>
                <c:pt idx="165">
                  <c:v>-0.13819448347534585</c:v>
                </c:pt>
                <c:pt idx="166">
                  <c:v>4.9849480793379248</c:v>
                </c:pt>
                <c:pt idx="167">
                  <c:v>4.8231348214247856</c:v>
                </c:pt>
                <c:pt idx="168">
                  <c:v>3.4587583253804963</c:v>
                </c:pt>
                <c:pt idx="169">
                  <c:v>5.2376528621301182</c:v>
                </c:pt>
                <c:pt idx="170">
                  <c:v>3.981840808483073</c:v>
                </c:pt>
                <c:pt idx="171">
                  <c:v>-0.83636412453965803</c:v>
                </c:pt>
                <c:pt idx="172">
                  <c:v>1.6651843358151586</c:v>
                </c:pt>
                <c:pt idx="173">
                  <c:v>0.87443233027117473</c:v>
                </c:pt>
                <c:pt idx="174">
                  <c:v>0.32201681597002724</c:v>
                </c:pt>
                <c:pt idx="175">
                  <c:v>3.4875269821201327</c:v>
                </c:pt>
                <c:pt idx="176">
                  <c:v>-0.5310553124266727</c:v>
                </c:pt>
                <c:pt idx="177">
                  <c:v>3.9170068069759458</c:v>
                </c:pt>
                <c:pt idx="178">
                  <c:v>4.5465221501864779</c:v>
                </c:pt>
                <c:pt idx="179">
                  <c:v>4.7918578014275548</c:v>
                </c:pt>
                <c:pt idx="180">
                  <c:v>1.0139034380323941</c:v>
                </c:pt>
                <c:pt idx="181">
                  <c:v>3.3272773916119922</c:v>
                </c:pt>
                <c:pt idx="182">
                  <c:v>-0.11277154017269274</c:v>
                </c:pt>
                <c:pt idx="183">
                  <c:v>4.5145111241462796</c:v>
                </c:pt>
                <c:pt idx="184">
                  <c:v>4.7975347867094147</c:v>
                </c:pt>
                <c:pt idx="185">
                  <c:v>0.58655011178910677</c:v>
                </c:pt>
                <c:pt idx="186">
                  <c:v>-2.1522638792174011</c:v>
                </c:pt>
                <c:pt idx="187">
                  <c:v>-1.7596854006777518</c:v>
                </c:pt>
                <c:pt idx="188">
                  <c:v>2.7894285111181136</c:v>
                </c:pt>
                <c:pt idx="189">
                  <c:v>-2.9993657722153437</c:v>
                </c:pt>
                <c:pt idx="190">
                  <c:v>-0.76307276941717617</c:v>
                </c:pt>
                <c:pt idx="191">
                  <c:v>-1.7386131436974006</c:v>
                </c:pt>
                <c:pt idx="192">
                  <c:v>4.1289946796011883</c:v>
                </c:pt>
                <c:pt idx="193">
                  <c:v>0.84246741127641256</c:v>
                </c:pt>
                <c:pt idx="194">
                  <c:v>1.6278445600284628</c:v>
                </c:pt>
                <c:pt idx="195">
                  <c:v>1.8052475720999275</c:v>
                </c:pt>
                <c:pt idx="196">
                  <c:v>2.288312007809215</c:v>
                </c:pt>
                <c:pt idx="197">
                  <c:v>-0.32776001250539349</c:v>
                </c:pt>
                <c:pt idx="198">
                  <c:v>-0.11496757297565079</c:v>
                </c:pt>
                <c:pt idx="199">
                  <c:v>-1.7516671348184694</c:v>
                </c:pt>
                <c:pt idx="200">
                  <c:v>-1.0684217423101203</c:v>
                </c:pt>
                <c:pt idx="201">
                  <c:v>4.1675166961522496</c:v>
                </c:pt>
                <c:pt idx="202">
                  <c:v>0.85712401335151422</c:v>
                </c:pt>
                <c:pt idx="203">
                  <c:v>3.9037424887153902</c:v>
                </c:pt>
                <c:pt idx="204">
                  <c:v>1.4464757489049129</c:v>
                </c:pt>
                <c:pt idx="205">
                  <c:v>0.5380811640737091</c:v>
                </c:pt>
                <c:pt idx="206">
                  <c:v>0.50902947081818939</c:v>
                </c:pt>
                <c:pt idx="207">
                  <c:v>3.977009860413057</c:v>
                </c:pt>
                <c:pt idx="208">
                  <c:v>2.0817972089729606</c:v>
                </c:pt>
                <c:pt idx="209">
                  <c:v>-2.1609531679952894</c:v>
                </c:pt>
                <c:pt idx="210">
                  <c:v>4.3702712511337918</c:v>
                </c:pt>
                <c:pt idx="211">
                  <c:v>-0.41050352320463801</c:v>
                </c:pt>
                <c:pt idx="212">
                  <c:v>-6.2618266178431109E-2</c:v>
                </c:pt>
                <c:pt idx="213">
                  <c:v>0.17055775205909454</c:v>
                </c:pt>
                <c:pt idx="214">
                  <c:v>4.5383816839770184</c:v>
                </c:pt>
                <c:pt idx="215">
                  <c:v>4.4589369634863525</c:v>
                </c:pt>
                <c:pt idx="216">
                  <c:v>3.0033007163026428</c:v>
                </c:pt>
                <c:pt idx="217">
                  <c:v>-2.7989657496382931</c:v>
                </c:pt>
                <c:pt idx="218">
                  <c:v>1.5410409685679289E-2</c:v>
                </c:pt>
                <c:pt idx="219">
                  <c:v>2.5147347693945865</c:v>
                </c:pt>
                <c:pt idx="220">
                  <c:v>3.4621434231754362</c:v>
                </c:pt>
                <c:pt idx="221">
                  <c:v>-0.74486570444635003</c:v>
                </c:pt>
                <c:pt idx="222">
                  <c:v>-2.9725137044829695</c:v>
                </c:pt>
                <c:pt idx="223">
                  <c:v>0.9774695388222977</c:v>
                </c:pt>
                <c:pt idx="224">
                  <c:v>3.724467613899745</c:v>
                </c:pt>
                <c:pt idx="225">
                  <c:v>3.0102851023385737</c:v>
                </c:pt>
                <c:pt idx="226">
                  <c:v>-7.5859515060672456E-2</c:v>
                </c:pt>
                <c:pt idx="227">
                  <c:v>3.7814952237381476</c:v>
                </c:pt>
                <c:pt idx="228">
                  <c:v>1.9405189585381177</c:v>
                </c:pt>
                <c:pt idx="229">
                  <c:v>-2.0338773306604985</c:v>
                </c:pt>
                <c:pt idx="230">
                  <c:v>-0.78101516821743877</c:v>
                </c:pt>
                <c:pt idx="231">
                  <c:v>3.9216349477641197</c:v>
                </c:pt>
                <c:pt idx="232">
                  <c:v>0.33204188270264484</c:v>
                </c:pt>
                <c:pt idx="233">
                  <c:v>-0.34524879174840428</c:v>
                </c:pt>
                <c:pt idx="234">
                  <c:v>4.42327118088979</c:v>
                </c:pt>
                <c:pt idx="235">
                  <c:v>-1.2732597089994684</c:v>
                </c:pt>
                <c:pt idx="236">
                  <c:v>0.8844860001229764</c:v>
                </c:pt>
                <c:pt idx="237">
                  <c:v>-1.4683558503922682</c:v>
                </c:pt>
                <c:pt idx="238">
                  <c:v>-0.34032092828903077</c:v>
                </c:pt>
                <c:pt idx="239">
                  <c:v>-2.3522224014457014</c:v>
                </c:pt>
                <c:pt idx="240">
                  <c:v>3.8673859093733296</c:v>
                </c:pt>
                <c:pt idx="241">
                  <c:v>2.849238927088138</c:v>
                </c:pt>
                <c:pt idx="242">
                  <c:v>1.8960232341435108</c:v>
                </c:pt>
                <c:pt idx="243">
                  <c:v>-0.97306885368273188</c:v>
                </c:pt>
                <c:pt idx="244">
                  <c:v>3.7837584559240272</c:v>
                </c:pt>
                <c:pt idx="245">
                  <c:v>-1.9650333445703696</c:v>
                </c:pt>
                <c:pt idx="246">
                  <c:v>0.47569195451308516</c:v>
                </c:pt>
                <c:pt idx="247">
                  <c:v>0.45808642542676659</c:v>
                </c:pt>
                <c:pt idx="248">
                  <c:v>-1.3188044339446638</c:v>
                </c:pt>
                <c:pt idx="249">
                  <c:v>3.0932403601006069</c:v>
                </c:pt>
                <c:pt idx="250">
                  <c:v>3.5447496577076083</c:v>
                </c:pt>
                <c:pt idx="251">
                  <c:v>1.3969072789912724</c:v>
                </c:pt>
                <c:pt idx="252">
                  <c:v>8.4981925039228093E-2</c:v>
                </c:pt>
                <c:pt idx="253">
                  <c:v>-1.0757640103834063</c:v>
                </c:pt>
                <c:pt idx="254">
                  <c:v>2.3477059842388925</c:v>
                </c:pt>
                <c:pt idx="255">
                  <c:v>-0.94749218989137152</c:v>
                </c:pt>
                <c:pt idx="256">
                  <c:v>-1.700717195856366</c:v>
                </c:pt>
                <c:pt idx="257">
                  <c:v>2.5132944957930667</c:v>
                </c:pt>
                <c:pt idx="258">
                  <c:v>-9.3572702893365958E-2</c:v>
                </c:pt>
                <c:pt idx="259">
                  <c:v>2.8292502336144132</c:v>
                </c:pt>
                <c:pt idx="260">
                  <c:v>-0.54072638466616718</c:v>
                </c:pt>
                <c:pt idx="261">
                  <c:v>4.4061278782140247</c:v>
                </c:pt>
                <c:pt idx="262">
                  <c:v>-1.7167646852384453</c:v>
                </c:pt>
                <c:pt idx="263">
                  <c:v>-1.431643816514331</c:v>
                </c:pt>
                <c:pt idx="264">
                  <c:v>2.068137222276019</c:v>
                </c:pt>
                <c:pt idx="265">
                  <c:v>0.20072063837898915</c:v>
                </c:pt>
                <c:pt idx="266">
                  <c:v>0.16511906721308889</c:v>
                </c:pt>
                <c:pt idx="267">
                  <c:v>0.56780558761981503</c:v>
                </c:pt>
                <c:pt idx="268">
                  <c:v>0.29575920359097557</c:v>
                </c:pt>
                <c:pt idx="269">
                  <c:v>-4.0865190763035146</c:v>
                </c:pt>
                <c:pt idx="270">
                  <c:v>0.62610708089233547</c:v>
                </c:pt>
                <c:pt idx="271">
                  <c:v>3.9197647860031193</c:v>
                </c:pt>
                <c:pt idx="272">
                  <c:v>6.1771517424476832</c:v>
                </c:pt>
                <c:pt idx="273">
                  <c:v>1.9662948141294796</c:v>
                </c:pt>
                <c:pt idx="274">
                  <c:v>-4.1865763696262374E-2</c:v>
                </c:pt>
                <c:pt idx="275">
                  <c:v>2.8487322985513321</c:v>
                </c:pt>
                <c:pt idx="276">
                  <c:v>3.714549393985402</c:v>
                </c:pt>
                <c:pt idx="277">
                  <c:v>-4.4583196547013095</c:v>
                </c:pt>
                <c:pt idx="278">
                  <c:v>4.5099980458164044</c:v>
                </c:pt>
                <c:pt idx="279">
                  <c:v>0.14197339601296494</c:v>
                </c:pt>
                <c:pt idx="280">
                  <c:v>1.5850095013623631</c:v>
                </c:pt>
                <c:pt idx="281">
                  <c:v>0.12955206210796763</c:v>
                </c:pt>
                <c:pt idx="282">
                  <c:v>1.3468381718972386</c:v>
                </c:pt>
                <c:pt idx="283">
                  <c:v>0.98074853900273284</c:v>
                </c:pt>
                <c:pt idx="284">
                  <c:v>0.87935340367172454</c:v>
                </c:pt>
                <c:pt idx="285">
                  <c:v>-0.99466471214221697</c:v>
                </c:pt>
                <c:pt idx="286">
                  <c:v>7.2229488726201371E-2</c:v>
                </c:pt>
                <c:pt idx="287">
                  <c:v>-0.67301561661501041</c:v>
                </c:pt>
                <c:pt idx="288">
                  <c:v>-0.88820528715102087</c:v>
                </c:pt>
                <c:pt idx="289">
                  <c:v>0.61707043394869954</c:v>
                </c:pt>
                <c:pt idx="290">
                  <c:v>4.1151210647659759</c:v>
                </c:pt>
                <c:pt idx="291">
                  <c:v>4.5148329184851672</c:v>
                </c:pt>
                <c:pt idx="292">
                  <c:v>4.7556817865377186</c:v>
                </c:pt>
                <c:pt idx="293">
                  <c:v>3.5111965572497081</c:v>
                </c:pt>
                <c:pt idx="294">
                  <c:v>-0.80244018513936421</c:v>
                </c:pt>
                <c:pt idx="295">
                  <c:v>5.0893899042093977</c:v>
                </c:pt>
                <c:pt idx="296">
                  <c:v>3.6872643588042484</c:v>
                </c:pt>
                <c:pt idx="297">
                  <c:v>2.8744647716637548</c:v>
                </c:pt>
                <c:pt idx="298">
                  <c:v>2.6981314604052349</c:v>
                </c:pt>
                <c:pt idx="299">
                  <c:v>1.2168058347753661</c:v>
                </c:pt>
                <c:pt idx="300">
                  <c:v>-3.4616367652045708</c:v>
                </c:pt>
                <c:pt idx="301">
                  <c:v>-3.323171294596388</c:v>
                </c:pt>
                <c:pt idx="302">
                  <c:v>-3.1847058239882049</c:v>
                </c:pt>
                <c:pt idx="303">
                  <c:v>-3.0462403533800222</c:v>
                </c:pt>
                <c:pt idx="304">
                  <c:v>-2.9077748827718395</c:v>
                </c:pt>
                <c:pt idx="305">
                  <c:v>-2.7693094121636568</c:v>
                </c:pt>
                <c:pt idx="306">
                  <c:v>-2.6308439415554736</c:v>
                </c:pt>
                <c:pt idx="307">
                  <c:v>-2.4923784709472909</c:v>
                </c:pt>
                <c:pt idx="308">
                  <c:v>-2.3539130003391082</c:v>
                </c:pt>
                <c:pt idx="309">
                  <c:v>-2.2154475297309251</c:v>
                </c:pt>
                <c:pt idx="310">
                  <c:v>-2.0769820591227424</c:v>
                </c:pt>
                <c:pt idx="311">
                  <c:v>-1.9385165885145597</c:v>
                </c:pt>
                <c:pt idx="312">
                  <c:v>-1.8000511179063767</c:v>
                </c:pt>
                <c:pt idx="313">
                  <c:v>-1.661585647298194</c:v>
                </c:pt>
                <c:pt idx="314">
                  <c:v>-1.5231201766900111</c:v>
                </c:pt>
                <c:pt idx="315">
                  <c:v>-1.3846547060818284</c:v>
                </c:pt>
                <c:pt idx="316">
                  <c:v>-1.2461892354736457</c:v>
                </c:pt>
                <c:pt idx="317">
                  <c:v>-1.1077237648654625</c:v>
                </c:pt>
                <c:pt idx="318">
                  <c:v>-0.96925829425727983</c:v>
                </c:pt>
                <c:pt idx="319">
                  <c:v>-0.83079282364909668</c:v>
                </c:pt>
                <c:pt idx="320">
                  <c:v>-0.69232735304091397</c:v>
                </c:pt>
                <c:pt idx="321">
                  <c:v>-0.55386188243273171</c:v>
                </c:pt>
                <c:pt idx="322">
                  <c:v>-0.41539641182454856</c:v>
                </c:pt>
                <c:pt idx="323">
                  <c:v>-0.27693094121636586</c:v>
                </c:pt>
                <c:pt idx="324">
                  <c:v>-0.13846547060818271</c:v>
                </c:pt>
                <c:pt idx="325">
                  <c:v>0</c:v>
                </c:pt>
                <c:pt idx="326">
                  <c:v>0.13846547060818271</c:v>
                </c:pt>
                <c:pt idx="327">
                  <c:v>0.27693094121636541</c:v>
                </c:pt>
                <c:pt idx="328">
                  <c:v>0.41539641182454856</c:v>
                </c:pt>
                <c:pt idx="329">
                  <c:v>0.55386188243273127</c:v>
                </c:pt>
                <c:pt idx="330">
                  <c:v>0.69232735304091397</c:v>
                </c:pt>
                <c:pt idx="331">
                  <c:v>0.83079282364909668</c:v>
                </c:pt>
                <c:pt idx="332">
                  <c:v>0.96925829425727938</c:v>
                </c:pt>
                <c:pt idx="333">
                  <c:v>1.107723764865463</c:v>
                </c:pt>
                <c:pt idx="334">
                  <c:v>1.2461892354736457</c:v>
                </c:pt>
                <c:pt idx="335">
                  <c:v>1.3846547060818284</c:v>
                </c:pt>
                <c:pt idx="336">
                  <c:v>1.5231201766900111</c:v>
                </c:pt>
                <c:pt idx="337">
                  <c:v>1.6615856472981938</c:v>
                </c:pt>
                <c:pt idx="338">
                  <c:v>1.8000511179063774</c:v>
                </c:pt>
                <c:pt idx="339">
                  <c:v>1.9385165885145592</c:v>
                </c:pt>
                <c:pt idx="340">
                  <c:v>2.0769820591227428</c:v>
                </c:pt>
                <c:pt idx="341">
                  <c:v>2.2154475297309255</c:v>
                </c:pt>
                <c:pt idx="342">
                  <c:v>2.3539130003391073</c:v>
                </c:pt>
                <c:pt idx="343">
                  <c:v>2.4923784709472909</c:v>
                </c:pt>
                <c:pt idx="344">
                  <c:v>2.6308439415554736</c:v>
                </c:pt>
                <c:pt idx="345">
                  <c:v>2.7693094121636572</c:v>
                </c:pt>
                <c:pt idx="346">
                  <c:v>2.907774882771839</c:v>
                </c:pt>
                <c:pt idx="347">
                  <c:v>3.0462403533800217</c:v>
                </c:pt>
                <c:pt idx="348">
                  <c:v>3.1847058239882053</c:v>
                </c:pt>
                <c:pt idx="349">
                  <c:v>3.323171294596388</c:v>
                </c:pt>
                <c:pt idx="350">
                  <c:v>3.4616367652045716</c:v>
                </c:pt>
                <c:pt idx="351">
                  <c:v>1.5522531693191839</c:v>
                </c:pt>
                <c:pt idx="352">
                  <c:v>1.6501630425464167</c:v>
                </c:pt>
                <c:pt idx="353">
                  <c:v>1.748072915773649</c:v>
                </c:pt>
                <c:pt idx="354">
                  <c:v>1.8459827890008818</c:v>
                </c:pt>
                <c:pt idx="355">
                  <c:v>1.9438926622281145</c:v>
                </c:pt>
                <c:pt idx="356">
                  <c:v>2.0418025354553473</c:v>
                </c:pt>
                <c:pt idx="357">
                  <c:v>2.1397124086825796</c:v>
                </c:pt>
                <c:pt idx="358">
                  <c:v>2.2376222819098124</c:v>
                </c:pt>
                <c:pt idx="359">
                  <c:v>2.3355321551370452</c:v>
                </c:pt>
                <c:pt idx="360">
                  <c:v>2.4334420283642775</c:v>
                </c:pt>
                <c:pt idx="361">
                  <c:v>2.5313519015915102</c:v>
                </c:pt>
                <c:pt idx="362">
                  <c:v>2.629261774818743</c:v>
                </c:pt>
                <c:pt idx="363">
                  <c:v>2.7271716480459753</c:v>
                </c:pt>
                <c:pt idx="364">
                  <c:v>2.8250815212732086</c:v>
                </c:pt>
                <c:pt idx="365">
                  <c:v>2.9229913945004409</c:v>
                </c:pt>
                <c:pt idx="366">
                  <c:v>3.0209012677276736</c:v>
                </c:pt>
                <c:pt idx="367">
                  <c:v>3.1188111409549064</c:v>
                </c:pt>
                <c:pt idx="368">
                  <c:v>3.2167210141821387</c:v>
                </c:pt>
                <c:pt idx="369">
                  <c:v>3.3146308874093715</c:v>
                </c:pt>
                <c:pt idx="370">
                  <c:v>3.4125407606366043</c:v>
                </c:pt>
                <c:pt idx="371">
                  <c:v>3.5104506338638366</c:v>
                </c:pt>
                <c:pt idx="372">
                  <c:v>3.6083605070910694</c:v>
                </c:pt>
                <c:pt idx="373">
                  <c:v>3.7062703803183021</c:v>
                </c:pt>
                <c:pt idx="374">
                  <c:v>3.8041802535455349</c:v>
                </c:pt>
                <c:pt idx="375">
                  <c:v>3.9020901267727672</c:v>
                </c:pt>
                <c:pt idx="376">
                  <c:v>4</c:v>
                </c:pt>
                <c:pt idx="377">
                  <c:v>4.0979098732272323</c:v>
                </c:pt>
                <c:pt idx="378">
                  <c:v>4.1958197464544646</c:v>
                </c:pt>
                <c:pt idx="379">
                  <c:v>4.2937296196816979</c:v>
                </c:pt>
                <c:pt idx="380">
                  <c:v>4.3916394929089302</c:v>
                </c:pt>
                <c:pt idx="381">
                  <c:v>4.4895493661361634</c:v>
                </c:pt>
                <c:pt idx="382">
                  <c:v>4.5874592393633957</c:v>
                </c:pt>
                <c:pt idx="383">
                  <c:v>4.685369112590628</c:v>
                </c:pt>
                <c:pt idx="384">
                  <c:v>4.7832789858178613</c:v>
                </c:pt>
                <c:pt idx="385">
                  <c:v>4.8811888590450936</c:v>
                </c:pt>
                <c:pt idx="386">
                  <c:v>4.9790987322723268</c:v>
                </c:pt>
                <c:pt idx="387">
                  <c:v>5.0770086054995591</c:v>
                </c:pt>
                <c:pt idx="388">
                  <c:v>5.1749184787267914</c:v>
                </c:pt>
                <c:pt idx="389">
                  <c:v>5.2728283519540238</c:v>
                </c:pt>
                <c:pt idx="390">
                  <c:v>5.370738225181257</c:v>
                </c:pt>
                <c:pt idx="391">
                  <c:v>5.4686480984084902</c:v>
                </c:pt>
                <c:pt idx="392">
                  <c:v>5.5665579716357225</c:v>
                </c:pt>
                <c:pt idx="393">
                  <c:v>5.6644678448629548</c:v>
                </c:pt>
                <c:pt idx="394">
                  <c:v>5.7623777180901872</c:v>
                </c:pt>
                <c:pt idx="395">
                  <c:v>5.8602875913174204</c:v>
                </c:pt>
                <c:pt idx="396">
                  <c:v>5.9581974645446527</c:v>
                </c:pt>
                <c:pt idx="397">
                  <c:v>6.0561073377718859</c:v>
                </c:pt>
                <c:pt idx="398">
                  <c:v>6.1540172109991182</c:v>
                </c:pt>
                <c:pt idx="399">
                  <c:v>6.2519270842263506</c:v>
                </c:pt>
                <c:pt idx="400">
                  <c:v>6.3498369574535838</c:v>
                </c:pt>
                <c:pt idx="401">
                  <c:v>6.4477468306808161</c:v>
                </c:pt>
              </c:numCache>
            </c:numRef>
          </c:xVal>
          <c:yVal>
            <c:numRef>
              <c:f>'Simulation data'!$J$21:$J$422</c:f>
              <c:numCache>
                <c:formatCode>General</c:formatCode>
                <c:ptCount val="40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2.5313519397571049</c:v>
                </c:pt>
                <c:pt idx="352">
                  <c:v>3.4677985408112315</c:v>
                </c:pt>
                <c:pt idx="353">
                  <c:v>3.8773688347899586</c:v>
                </c:pt>
                <c:pt idx="354">
                  <c:v>4.1964637510166316</c:v>
                </c:pt>
                <c:pt idx="355">
                  <c:v>4.4671515623302858</c:v>
                </c:pt>
                <c:pt idx="356">
                  <c:v>4.7058687683090215</c:v>
                </c:pt>
                <c:pt idx="357">
                  <c:v>4.921105821992013</c:v>
                </c:pt>
                <c:pt idx="358">
                  <c:v>5.1179359813223071</c:v>
                </c:pt>
                <c:pt idx="359">
                  <c:v>5.2996792732553537</c:v>
                </c:pt>
                <c:pt idx="360">
                  <c:v>5.4686480984084902</c:v>
                </c:pt>
                <c:pt idx="361">
                  <c:v>5.62652747033599</c:v>
                </c:pt>
                <c:pt idx="362">
                  <c:v>5.7745876143498513</c:v>
                </c:pt>
                <c:pt idx="363">
                  <c:v>5.9138113370974414</c:v>
                </c:pt>
                <c:pt idx="364">
                  <c:v>6.0449745534576982</c:v>
                </c:pt>
                <c:pt idx="365">
                  <c:v>6.1686994350289748</c:v>
                </c:pt>
                <c:pt idx="366">
                  <c:v>6.2854907358530117</c:v>
                </c:pt>
                <c:pt idx="367">
                  <c:v>6.395761341080771</c:v>
                </c:pt>
                <c:pt idx="368">
                  <c:v>6.4998506613660512</c:v>
                </c:pt>
                <c:pt idx="369">
                  <c:v>6.5980381277029245</c:v>
                </c:pt>
                <c:pt idx="370">
                  <c:v>6.6905532354570276</c:v>
                </c:pt>
                <c:pt idx="371">
                  <c:v>6.7775830936327264</c:v>
                </c:pt>
                <c:pt idx="372">
                  <c:v>6.8592781240933096</c:v>
                </c:pt>
                <c:pt idx="373">
                  <c:v>6.935756352625118</c:v>
                </c:pt>
                <c:pt idx="374">
                  <c:v>7.0071065975872564</c:v>
                </c:pt>
                <c:pt idx="375">
                  <c:v>7.0733907675708299</c:v>
                </c:pt>
                <c:pt idx="376">
                  <c:v>7.1346454117263551</c:v>
                </c:pt>
                <c:pt idx="377">
                  <c:v>7.1908826154435097</c:v>
                </c:pt>
                <c:pt idx="378">
                  <c:v>7.2420902933326143</c:v>
                </c:pt>
                <c:pt idx="379">
                  <c:v>7.2882318962431549</c:v>
                </c:pt>
                <c:pt idx="380">
                  <c:v>7.3292455155840264</c:v>
                </c:pt>
                <c:pt idx="381">
                  <c:v>7.3650423329961221</c:v>
                </c:pt>
                <c:pt idx="382">
                  <c:v>7.3955043226931032</c:v>
                </c:pt>
                <c:pt idx="383">
                  <c:v>7.4204810628116782</c:v>
                </c:pt>
                <c:pt idx="384">
                  <c:v>7.4397854443474847</c:v>
                </c:pt>
                <c:pt idx="385">
                  <c:v>7.4531879719348826</c:v>
                </c:pt>
                <c:pt idx="386">
                  <c:v>7.4604092145798031</c:v>
                </c:pt>
                <c:pt idx="387">
                  <c:v>7.4611097616284452</c:v>
                </c:pt>
                <c:pt idx="388">
                  <c:v>7.4548767279298485</c:v>
                </c:pt>
                <c:pt idx="389">
                  <c:v>7.4412053594422707</c:v>
                </c:pt>
                <c:pt idx="390">
                  <c:v>7.4194734845673596</c:v>
                </c:pt>
                <c:pt idx="391">
                  <c:v>7.3889051884261772</c:v>
                </c:pt>
                <c:pt idx="392">
                  <c:v>7.3485176643713563</c:v>
                </c:pt>
                <c:pt idx="393">
                  <c:v>7.2970406870908988</c:v>
                </c:pt>
                <c:pt idx="394">
                  <c:v>7.2327892430305321</c:v>
                </c:pt>
                <c:pt idx="395">
                  <c:v>7.153450931572916</c:v>
                </c:pt>
                <c:pt idx="396">
                  <c:v>7.0557057257626052</c:v>
                </c:pt>
                <c:pt idx="397">
                  <c:v>6.9344803676565476</c:v>
                </c:pt>
                <c:pt idx="398">
                  <c:v>6.7812844042155724</c:v>
                </c:pt>
                <c:pt idx="399">
                  <c:v>6.5796813358615811</c:v>
                </c:pt>
                <c:pt idx="400">
                  <c:v>6.2876028897555285</c:v>
                </c:pt>
                <c:pt idx="401">
                  <c:v>5.4686481365740836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'Simulation data'!$K$20</c:f>
              <c:strCache>
                <c:ptCount val="1"/>
                <c:pt idx="0">
                  <c:v>Ellipsoid.2b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'Simulation data'!$C$21:$C$422</c:f>
              <c:numCache>
                <c:formatCode>General</c:formatCode>
                <c:ptCount val="402"/>
                <c:pt idx="0">
                  <c:v>-2.1458090045514067</c:v>
                </c:pt>
                <c:pt idx="1">
                  <c:v>3.2321360045660699</c:v>
                </c:pt>
                <c:pt idx="2">
                  <c:v>4.9401718757169304</c:v>
                </c:pt>
                <c:pt idx="3">
                  <c:v>3.8101809249088845</c:v>
                </c:pt>
                <c:pt idx="4">
                  <c:v>-4.9145426282480267E-2</c:v>
                </c:pt>
                <c:pt idx="5">
                  <c:v>-2.5228432546258131E-2</c:v>
                </c:pt>
                <c:pt idx="6">
                  <c:v>-0.29220078622149359</c:v>
                </c:pt>
                <c:pt idx="7">
                  <c:v>0.49613641368855654</c:v>
                </c:pt>
                <c:pt idx="8">
                  <c:v>-0.56473713272988635</c:v>
                </c:pt>
                <c:pt idx="9">
                  <c:v>4.2390780799608194</c:v>
                </c:pt>
                <c:pt idx="10">
                  <c:v>-1.1607911976569065</c:v>
                </c:pt>
                <c:pt idx="11">
                  <c:v>4.3915782617710164</c:v>
                </c:pt>
                <c:pt idx="12">
                  <c:v>-1.6970819022287003</c:v>
                </c:pt>
                <c:pt idx="13">
                  <c:v>-1.1039833758771549</c:v>
                </c:pt>
                <c:pt idx="14">
                  <c:v>3.8594640680730765</c:v>
                </c:pt>
                <c:pt idx="15">
                  <c:v>-1.5888254252359202</c:v>
                </c:pt>
                <c:pt idx="16">
                  <c:v>3.1700254907721344</c:v>
                </c:pt>
                <c:pt idx="17">
                  <c:v>4.5703129876344226</c:v>
                </c:pt>
                <c:pt idx="18">
                  <c:v>3.5076650710607127</c:v>
                </c:pt>
                <c:pt idx="19">
                  <c:v>4.5448847299734689</c:v>
                </c:pt>
                <c:pt idx="20">
                  <c:v>0.62275887877545733</c:v>
                </c:pt>
                <c:pt idx="21">
                  <c:v>-2.8518153123804284</c:v>
                </c:pt>
                <c:pt idx="22">
                  <c:v>3.3959342300941153</c:v>
                </c:pt>
                <c:pt idx="23">
                  <c:v>4.8282492711948386</c:v>
                </c:pt>
                <c:pt idx="24">
                  <c:v>-2.4425088894226077</c:v>
                </c:pt>
                <c:pt idx="25">
                  <c:v>-1.2016605648263705</c:v>
                </c:pt>
                <c:pt idx="26">
                  <c:v>-1.9836222454864094</c:v>
                </c:pt>
                <c:pt idx="27">
                  <c:v>1.6622592288218931</c:v>
                </c:pt>
                <c:pt idx="28">
                  <c:v>3.6762867759521787</c:v>
                </c:pt>
                <c:pt idx="29">
                  <c:v>0.24139067967495381</c:v>
                </c:pt>
                <c:pt idx="30">
                  <c:v>3.6844118986422254</c:v>
                </c:pt>
                <c:pt idx="31">
                  <c:v>4.1239662011296749</c:v>
                </c:pt>
                <c:pt idx="32">
                  <c:v>4.0536739765063983</c:v>
                </c:pt>
                <c:pt idx="33">
                  <c:v>0.39334960106432287</c:v>
                </c:pt>
                <c:pt idx="34">
                  <c:v>-0.15681921393749493</c:v>
                </c:pt>
                <c:pt idx="35">
                  <c:v>3.3177088846235838</c:v>
                </c:pt>
                <c:pt idx="36">
                  <c:v>-1.8021770233629841</c:v>
                </c:pt>
                <c:pt idx="37">
                  <c:v>-3.9052468460126173</c:v>
                </c:pt>
                <c:pt idx="38">
                  <c:v>-1.9755702888926949</c:v>
                </c:pt>
                <c:pt idx="39">
                  <c:v>2.2980267342775349</c:v>
                </c:pt>
                <c:pt idx="40">
                  <c:v>-0.24628108181306216</c:v>
                </c:pt>
                <c:pt idx="41">
                  <c:v>4.8256020158874122</c:v>
                </c:pt>
                <c:pt idx="42">
                  <c:v>2.3485839654435177</c:v>
                </c:pt>
                <c:pt idx="43">
                  <c:v>0.15723997490911548</c:v>
                </c:pt>
                <c:pt idx="44">
                  <c:v>3.4724211971263492</c:v>
                </c:pt>
                <c:pt idx="45">
                  <c:v>1.2562848598038634</c:v>
                </c:pt>
                <c:pt idx="46">
                  <c:v>-0.90484495195411307</c:v>
                </c:pt>
                <c:pt idx="47">
                  <c:v>3.240484936416439</c:v>
                </c:pt>
                <c:pt idx="48">
                  <c:v>-0.31959727481456074</c:v>
                </c:pt>
                <c:pt idx="49">
                  <c:v>4.2799461829071008</c:v>
                </c:pt>
                <c:pt idx="50">
                  <c:v>-1.1384909306303921</c:v>
                </c:pt>
                <c:pt idx="51">
                  <c:v>1.0213065931182101</c:v>
                </c:pt>
                <c:pt idx="52">
                  <c:v>3.9301409054848109</c:v>
                </c:pt>
                <c:pt idx="53">
                  <c:v>4.9510889912519138</c:v>
                </c:pt>
                <c:pt idx="54">
                  <c:v>-0.36732403248139234</c:v>
                </c:pt>
                <c:pt idx="55">
                  <c:v>0.4457258867229475</c:v>
                </c:pt>
                <c:pt idx="56">
                  <c:v>-0.55964932491555897</c:v>
                </c:pt>
                <c:pt idx="57">
                  <c:v>-1.0201682172990389</c:v>
                </c:pt>
                <c:pt idx="58">
                  <c:v>3.5100407190048366</c:v>
                </c:pt>
                <c:pt idx="59">
                  <c:v>1.3614527248869044</c:v>
                </c:pt>
                <c:pt idx="60">
                  <c:v>-0.59891529283364242</c:v>
                </c:pt>
                <c:pt idx="61">
                  <c:v>5.9120690826819189</c:v>
                </c:pt>
                <c:pt idx="62">
                  <c:v>0.22127109717878579</c:v>
                </c:pt>
                <c:pt idx="63">
                  <c:v>4.1715147059341415</c:v>
                </c:pt>
                <c:pt idx="64">
                  <c:v>3.3106107239140123</c:v>
                </c:pt>
                <c:pt idx="65">
                  <c:v>-0.28871106262617879</c:v>
                </c:pt>
                <c:pt idx="66">
                  <c:v>-2.1343432574844834</c:v>
                </c:pt>
                <c:pt idx="67">
                  <c:v>0.14201055694206449</c:v>
                </c:pt>
                <c:pt idx="68">
                  <c:v>0.37144709870516529</c:v>
                </c:pt>
                <c:pt idx="69">
                  <c:v>-0.44318579492173782</c:v>
                </c:pt>
                <c:pt idx="70">
                  <c:v>4.8876143904644413</c:v>
                </c:pt>
                <c:pt idx="71">
                  <c:v>4.1713064890596883</c:v>
                </c:pt>
                <c:pt idx="72">
                  <c:v>3.0814492820305137</c:v>
                </c:pt>
                <c:pt idx="73">
                  <c:v>-0.57042673204354366</c:v>
                </c:pt>
                <c:pt idx="74">
                  <c:v>-0.88886142354828301</c:v>
                </c:pt>
                <c:pt idx="75">
                  <c:v>-1.1555559473347294</c:v>
                </c:pt>
                <c:pt idx="76">
                  <c:v>4.2349234216038658</c:v>
                </c:pt>
                <c:pt idx="77">
                  <c:v>3.7197040972061362</c:v>
                </c:pt>
                <c:pt idx="78">
                  <c:v>1.4042502280079001</c:v>
                </c:pt>
                <c:pt idx="79">
                  <c:v>2.7793878146401294</c:v>
                </c:pt>
                <c:pt idx="80">
                  <c:v>-1.7063278638967669</c:v>
                </c:pt>
                <c:pt idx="81">
                  <c:v>1.3727385994968342</c:v>
                </c:pt>
                <c:pt idx="82">
                  <c:v>1.758473762463588</c:v>
                </c:pt>
                <c:pt idx="83">
                  <c:v>0.29467755939836388</c:v>
                </c:pt>
                <c:pt idx="84">
                  <c:v>-1.9357674185352813</c:v>
                </c:pt>
                <c:pt idx="85">
                  <c:v>0.62762516282825753</c:v>
                </c:pt>
                <c:pt idx="86">
                  <c:v>2.4107909336845004</c:v>
                </c:pt>
                <c:pt idx="87">
                  <c:v>3.5939313760496394</c:v>
                </c:pt>
                <c:pt idx="88">
                  <c:v>3.5471281872592058</c:v>
                </c:pt>
                <c:pt idx="89">
                  <c:v>3.048304391571047</c:v>
                </c:pt>
                <c:pt idx="90">
                  <c:v>-1.0544062572955941</c:v>
                </c:pt>
                <c:pt idx="91">
                  <c:v>2.7592062241121851</c:v>
                </c:pt>
                <c:pt idx="92">
                  <c:v>1.2754170863365852</c:v>
                </c:pt>
                <c:pt idx="93">
                  <c:v>2.9040260787492445</c:v>
                </c:pt>
                <c:pt idx="94">
                  <c:v>3.3948529629583954</c:v>
                </c:pt>
                <c:pt idx="95">
                  <c:v>-3.3431318151230993</c:v>
                </c:pt>
                <c:pt idx="96">
                  <c:v>4.2727774298961796</c:v>
                </c:pt>
                <c:pt idx="97">
                  <c:v>1.3541180519689362</c:v>
                </c:pt>
                <c:pt idx="98">
                  <c:v>0.30019533497747464</c:v>
                </c:pt>
                <c:pt idx="99">
                  <c:v>1.1257274804080926</c:v>
                </c:pt>
                <c:pt idx="100">
                  <c:v>2.9781660832863306</c:v>
                </c:pt>
                <c:pt idx="101">
                  <c:v>1.5839415843550908</c:v>
                </c:pt>
                <c:pt idx="102">
                  <c:v>3.8674815740734392</c:v>
                </c:pt>
                <c:pt idx="103">
                  <c:v>1.4362511649543541</c:v>
                </c:pt>
                <c:pt idx="104">
                  <c:v>4.3096387552989333</c:v>
                </c:pt>
                <c:pt idx="105">
                  <c:v>2.8125875373755322</c:v>
                </c:pt>
                <c:pt idx="106">
                  <c:v>-0.61706221073473144</c:v>
                </c:pt>
                <c:pt idx="107">
                  <c:v>1.04791529005682</c:v>
                </c:pt>
                <c:pt idx="108">
                  <c:v>4.0884507933670537</c:v>
                </c:pt>
                <c:pt idx="109">
                  <c:v>-8.5189723514257507E-2</c:v>
                </c:pt>
                <c:pt idx="110">
                  <c:v>1.3800556151792684</c:v>
                </c:pt>
                <c:pt idx="111">
                  <c:v>-0.7806217036401889</c:v>
                </c:pt>
                <c:pt idx="112">
                  <c:v>-0.82405539923198701</c:v>
                </c:pt>
                <c:pt idx="113">
                  <c:v>-6.4358388760818189E-2</c:v>
                </c:pt>
                <c:pt idx="114">
                  <c:v>5.0239082121696512</c:v>
                </c:pt>
                <c:pt idx="115">
                  <c:v>5.5109696315173951</c:v>
                </c:pt>
                <c:pt idx="116">
                  <c:v>4.0711792825538788</c:v>
                </c:pt>
                <c:pt idx="117">
                  <c:v>-0.97636964584698305</c:v>
                </c:pt>
                <c:pt idx="118">
                  <c:v>2.446753725302909</c:v>
                </c:pt>
                <c:pt idx="119">
                  <c:v>-0.65213511293938364</c:v>
                </c:pt>
                <c:pt idx="120">
                  <c:v>4.4514112231459633</c:v>
                </c:pt>
                <c:pt idx="121">
                  <c:v>1.6512116879707235</c:v>
                </c:pt>
                <c:pt idx="122">
                  <c:v>0.98982188847871233</c:v>
                </c:pt>
                <c:pt idx="123">
                  <c:v>-2.1385232596249035</c:v>
                </c:pt>
                <c:pt idx="124">
                  <c:v>-1.5123586383448058</c:v>
                </c:pt>
                <c:pt idx="125">
                  <c:v>0.54798959132812064</c:v>
                </c:pt>
                <c:pt idx="126">
                  <c:v>5.3473583347029621</c:v>
                </c:pt>
                <c:pt idx="127">
                  <c:v>3.1309233105640586</c:v>
                </c:pt>
                <c:pt idx="128">
                  <c:v>-1.7585082687241269</c:v>
                </c:pt>
                <c:pt idx="129">
                  <c:v>3.9006194077118446</c:v>
                </c:pt>
                <c:pt idx="130">
                  <c:v>-0.93306800953930202</c:v>
                </c:pt>
                <c:pt idx="131">
                  <c:v>3.4748913301073623</c:v>
                </c:pt>
                <c:pt idx="132">
                  <c:v>1.499437658775314</c:v>
                </c:pt>
                <c:pt idx="133">
                  <c:v>3.3858874431885755</c:v>
                </c:pt>
                <c:pt idx="134">
                  <c:v>0.2686258594459438</c:v>
                </c:pt>
                <c:pt idx="135">
                  <c:v>0.35178038030853365</c:v>
                </c:pt>
                <c:pt idx="136">
                  <c:v>-2.5271803778105908</c:v>
                </c:pt>
                <c:pt idx="137">
                  <c:v>4.4240986294774434</c:v>
                </c:pt>
                <c:pt idx="138">
                  <c:v>1.626476483469119</c:v>
                </c:pt>
                <c:pt idx="139">
                  <c:v>3.0358206715476266</c:v>
                </c:pt>
                <c:pt idx="140">
                  <c:v>-1.039801598174301</c:v>
                </c:pt>
                <c:pt idx="141">
                  <c:v>5.184696646153685</c:v>
                </c:pt>
                <c:pt idx="142">
                  <c:v>-1.4227686609126553</c:v>
                </c:pt>
                <c:pt idx="143">
                  <c:v>1.2726720332626791</c:v>
                </c:pt>
                <c:pt idx="144">
                  <c:v>0.89524184637730964</c:v>
                </c:pt>
                <c:pt idx="145">
                  <c:v>1.3491766134171987</c:v>
                </c:pt>
                <c:pt idx="146">
                  <c:v>3.9969401383482484</c:v>
                </c:pt>
                <c:pt idx="147">
                  <c:v>-0.19036128473463695</c:v>
                </c:pt>
                <c:pt idx="148">
                  <c:v>-1.1908448769734779</c:v>
                </c:pt>
                <c:pt idx="149">
                  <c:v>0.26486477699869787</c:v>
                </c:pt>
                <c:pt idx="150">
                  <c:v>-0.55114575611707295</c:v>
                </c:pt>
                <c:pt idx="151">
                  <c:v>-0.8132106978662218</c:v>
                </c:pt>
                <c:pt idx="152">
                  <c:v>-3.4113754790240498</c:v>
                </c:pt>
                <c:pt idx="153">
                  <c:v>-0.14786049877928853</c:v>
                </c:pt>
                <c:pt idx="154">
                  <c:v>0.55237655676625463</c:v>
                </c:pt>
                <c:pt idx="155">
                  <c:v>-0.40933241592877573</c:v>
                </c:pt>
                <c:pt idx="156">
                  <c:v>5.0581191690641427</c:v>
                </c:pt>
                <c:pt idx="157">
                  <c:v>-2.0779330821545012</c:v>
                </c:pt>
                <c:pt idx="158">
                  <c:v>0.88052800774633377</c:v>
                </c:pt>
                <c:pt idx="159">
                  <c:v>0.25096725719237473</c:v>
                </c:pt>
                <c:pt idx="160">
                  <c:v>6.0998987977947321</c:v>
                </c:pt>
                <c:pt idx="161">
                  <c:v>3.6442627618032009</c:v>
                </c:pt>
                <c:pt idx="162">
                  <c:v>-1.6457112825412648</c:v>
                </c:pt>
                <c:pt idx="163">
                  <c:v>-0.72208935268278074</c:v>
                </c:pt>
                <c:pt idx="164">
                  <c:v>2.4097655360135026</c:v>
                </c:pt>
                <c:pt idx="165">
                  <c:v>-0.13819448347534585</c:v>
                </c:pt>
                <c:pt idx="166">
                  <c:v>4.9849480793379248</c:v>
                </c:pt>
                <c:pt idx="167">
                  <c:v>4.8231348214247856</c:v>
                </c:pt>
                <c:pt idx="168">
                  <c:v>3.4587583253804963</c:v>
                </c:pt>
                <c:pt idx="169">
                  <c:v>5.2376528621301182</c:v>
                </c:pt>
                <c:pt idx="170">
                  <c:v>3.981840808483073</c:v>
                </c:pt>
                <c:pt idx="171">
                  <c:v>-0.83636412453965803</c:v>
                </c:pt>
                <c:pt idx="172">
                  <c:v>1.6651843358151586</c:v>
                </c:pt>
                <c:pt idx="173">
                  <c:v>0.87443233027117473</c:v>
                </c:pt>
                <c:pt idx="174">
                  <c:v>0.32201681597002724</c:v>
                </c:pt>
                <c:pt idx="175">
                  <c:v>3.4875269821201327</c:v>
                </c:pt>
                <c:pt idx="176">
                  <c:v>-0.5310553124266727</c:v>
                </c:pt>
                <c:pt idx="177">
                  <c:v>3.9170068069759458</c:v>
                </c:pt>
                <c:pt idx="178">
                  <c:v>4.5465221501864779</c:v>
                </c:pt>
                <c:pt idx="179">
                  <c:v>4.7918578014275548</c:v>
                </c:pt>
                <c:pt idx="180">
                  <c:v>1.0139034380323941</c:v>
                </c:pt>
                <c:pt idx="181">
                  <c:v>3.3272773916119922</c:v>
                </c:pt>
                <c:pt idx="182">
                  <c:v>-0.11277154017269274</c:v>
                </c:pt>
                <c:pt idx="183">
                  <c:v>4.5145111241462796</c:v>
                </c:pt>
                <c:pt idx="184">
                  <c:v>4.7975347867094147</c:v>
                </c:pt>
                <c:pt idx="185">
                  <c:v>0.58655011178910677</c:v>
                </c:pt>
                <c:pt idx="186">
                  <c:v>-2.1522638792174011</c:v>
                </c:pt>
                <c:pt idx="187">
                  <c:v>-1.7596854006777518</c:v>
                </c:pt>
                <c:pt idx="188">
                  <c:v>2.7894285111181136</c:v>
                </c:pt>
                <c:pt idx="189">
                  <c:v>-2.9993657722153437</c:v>
                </c:pt>
                <c:pt idx="190">
                  <c:v>-0.76307276941717617</c:v>
                </c:pt>
                <c:pt idx="191">
                  <c:v>-1.7386131436974006</c:v>
                </c:pt>
                <c:pt idx="192">
                  <c:v>4.1289946796011883</c:v>
                </c:pt>
                <c:pt idx="193">
                  <c:v>0.84246741127641256</c:v>
                </c:pt>
                <c:pt idx="194">
                  <c:v>1.6278445600284628</c:v>
                </c:pt>
                <c:pt idx="195">
                  <c:v>1.8052475720999275</c:v>
                </c:pt>
                <c:pt idx="196">
                  <c:v>2.288312007809215</c:v>
                </c:pt>
                <c:pt idx="197">
                  <c:v>-0.32776001250539349</c:v>
                </c:pt>
                <c:pt idx="198">
                  <c:v>-0.11496757297565079</c:v>
                </c:pt>
                <c:pt idx="199">
                  <c:v>-1.7516671348184694</c:v>
                </c:pt>
                <c:pt idx="200">
                  <c:v>-1.0684217423101203</c:v>
                </c:pt>
                <c:pt idx="201">
                  <c:v>4.1675166961522496</c:v>
                </c:pt>
                <c:pt idx="202">
                  <c:v>0.85712401335151422</c:v>
                </c:pt>
                <c:pt idx="203">
                  <c:v>3.9037424887153902</c:v>
                </c:pt>
                <c:pt idx="204">
                  <c:v>1.4464757489049129</c:v>
                </c:pt>
                <c:pt idx="205">
                  <c:v>0.5380811640737091</c:v>
                </c:pt>
                <c:pt idx="206">
                  <c:v>0.50902947081818939</c:v>
                </c:pt>
                <c:pt idx="207">
                  <c:v>3.977009860413057</c:v>
                </c:pt>
                <c:pt idx="208">
                  <c:v>2.0817972089729606</c:v>
                </c:pt>
                <c:pt idx="209">
                  <c:v>-2.1609531679952894</c:v>
                </c:pt>
                <c:pt idx="210">
                  <c:v>4.3702712511337918</c:v>
                </c:pt>
                <c:pt idx="211">
                  <c:v>-0.41050352320463801</c:v>
                </c:pt>
                <c:pt idx="212">
                  <c:v>-6.2618266178431109E-2</c:v>
                </c:pt>
                <c:pt idx="213">
                  <c:v>0.17055775205909454</c:v>
                </c:pt>
                <c:pt idx="214">
                  <c:v>4.5383816839770184</c:v>
                </c:pt>
                <c:pt idx="215">
                  <c:v>4.4589369634863525</c:v>
                </c:pt>
                <c:pt idx="216">
                  <c:v>3.0033007163026428</c:v>
                </c:pt>
                <c:pt idx="217">
                  <c:v>-2.7989657496382931</c:v>
                </c:pt>
                <c:pt idx="218">
                  <c:v>1.5410409685679289E-2</c:v>
                </c:pt>
                <c:pt idx="219">
                  <c:v>2.5147347693945865</c:v>
                </c:pt>
                <c:pt idx="220">
                  <c:v>3.4621434231754362</c:v>
                </c:pt>
                <c:pt idx="221">
                  <c:v>-0.74486570444635003</c:v>
                </c:pt>
                <c:pt idx="222">
                  <c:v>-2.9725137044829695</c:v>
                </c:pt>
                <c:pt idx="223">
                  <c:v>0.9774695388222977</c:v>
                </c:pt>
                <c:pt idx="224">
                  <c:v>3.724467613899745</c:v>
                </c:pt>
                <c:pt idx="225">
                  <c:v>3.0102851023385737</c:v>
                </c:pt>
                <c:pt idx="226">
                  <c:v>-7.5859515060672456E-2</c:v>
                </c:pt>
                <c:pt idx="227">
                  <c:v>3.7814952237381476</c:v>
                </c:pt>
                <c:pt idx="228">
                  <c:v>1.9405189585381177</c:v>
                </c:pt>
                <c:pt idx="229">
                  <c:v>-2.0338773306604985</c:v>
                </c:pt>
                <c:pt idx="230">
                  <c:v>-0.78101516821743877</c:v>
                </c:pt>
                <c:pt idx="231">
                  <c:v>3.9216349477641197</c:v>
                </c:pt>
                <c:pt idx="232">
                  <c:v>0.33204188270264484</c:v>
                </c:pt>
                <c:pt idx="233">
                  <c:v>-0.34524879174840428</c:v>
                </c:pt>
                <c:pt idx="234">
                  <c:v>4.42327118088979</c:v>
                </c:pt>
                <c:pt idx="235">
                  <c:v>-1.2732597089994684</c:v>
                </c:pt>
                <c:pt idx="236">
                  <c:v>0.8844860001229764</c:v>
                </c:pt>
                <c:pt idx="237">
                  <c:v>-1.4683558503922682</c:v>
                </c:pt>
                <c:pt idx="238">
                  <c:v>-0.34032092828903077</c:v>
                </c:pt>
                <c:pt idx="239">
                  <c:v>-2.3522224014457014</c:v>
                </c:pt>
                <c:pt idx="240">
                  <c:v>3.8673859093733296</c:v>
                </c:pt>
                <c:pt idx="241">
                  <c:v>2.849238927088138</c:v>
                </c:pt>
                <c:pt idx="242">
                  <c:v>1.8960232341435108</c:v>
                </c:pt>
                <c:pt idx="243">
                  <c:v>-0.97306885368273188</c:v>
                </c:pt>
                <c:pt idx="244">
                  <c:v>3.7837584559240272</c:v>
                </c:pt>
                <c:pt idx="245">
                  <c:v>-1.9650333445703696</c:v>
                </c:pt>
                <c:pt idx="246">
                  <c:v>0.47569195451308516</c:v>
                </c:pt>
                <c:pt idx="247">
                  <c:v>0.45808642542676659</c:v>
                </c:pt>
                <c:pt idx="248">
                  <c:v>-1.3188044339446638</c:v>
                </c:pt>
                <c:pt idx="249">
                  <c:v>3.0932403601006069</c:v>
                </c:pt>
                <c:pt idx="250">
                  <c:v>3.5447496577076083</c:v>
                </c:pt>
                <c:pt idx="251">
                  <c:v>1.3969072789912724</c:v>
                </c:pt>
                <c:pt idx="252">
                  <c:v>8.4981925039228093E-2</c:v>
                </c:pt>
                <c:pt idx="253">
                  <c:v>-1.0757640103834063</c:v>
                </c:pt>
                <c:pt idx="254">
                  <c:v>2.3477059842388925</c:v>
                </c:pt>
                <c:pt idx="255">
                  <c:v>-0.94749218989137152</c:v>
                </c:pt>
                <c:pt idx="256">
                  <c:v>-1.700717195856366</c:v>
                </c:pt>
                <c:pt idx="257">
                  <c:v>2.5132944957930667</c:v>
                </c:pt>
                <c:pt idx="258">
                  <c:v>-9.3572702893365958E-2</c:v>
                </c:pt>
                <c:pt idx="259">
                  <c:v>2.8292502336144132</c:v>
                </c:pt>
                <c:pt idx="260">
                  <c:v>-0.54072638466616718</c:v>
                </c:pt>
                <c:pt idx="261">
                  <c:v>4.4061278782140247</c:v>
                </c:pt>
                <c:pt idx="262">
                  <c:v>-1.7167646852384453</c:v>
                </c:pt>
                <c:pt idx="263">
                  <c:v>-1.431643816514331</c:v>
                </c:pt>
                <c:pt idx="264">
                  <c:v>2.068137222276019</c:v>
                </c:pt>
                <c:pt idx="265">
                  <c:v>0.20072063837898915</c:v>
                </c:pt>
                <c:pt idx="266">
                  <c:v>0.16511906721308889</c:v>
                </c:pt>
                <c:pt idx="267">
                  <c:v>0.56780558761981503</c:v>
                </c:pt>
                <c:pt idx="268">
                  <c:v>0.29575920359097557</c:v>
                </c:pt>
                <c:pt idx="269">
                  <c:v>-4.0865190763035146</c:v>
                </c:pt>
                <c:pt idx="270">
                  <c:v>0.62610708089233547</c:v>
                </c:pt>
                <c:pt idx="271">
                  <c:v>3.9197647860031193</c:v>
                </c:pt>
                <c:pt idx="272">
                  <c:v>6.1771517424476832</c:v>
                </c:pt>
                <c:pt idx="273">
                  <c:v>1.9662948141294796</c:v>
                </c:pt>
                <c:pt idx="274">
                  <c:v>-4.1865763696262374E-2</c:v>
                </c:pt>
                <c:pt idx="275">
                  <c:v>2.8487322985513321</c:v>
                </c:pt>
                <c:pt idx="276">
                  <c:v>3.714549393985402</c:v>
                </c:pt>
                <c:pt idx="277">
                  <c:v>-4.4583196547013095</c:v>
                </c:pt>
                <c:pt idx="278">
                  <c:v>4.5099980458164044</c:v>
                </c:pt>
                <c:pt idx="279">
                  <c:v>0.14197339601296494</c:v>
                </c:pt>
                <c:pt idx="280">
                  <c:v>1.5850095013623631</c:v>
                </c:pt>
                <c:pt idx="281">
                  <c:v>0.12955206210796763</c:v>
                </c:pt>
                <c:pt idx="282">
                  <c:v>1.3468381718972386</c:v>
                </c:pt>
                <c:pt idx="283">
                  <c:v>0.98074853900273284</c:v>
                </c:pt>
                <c:pt idx="284">
                  <c:v>0.87935340367172454</c:v>
                </c:pt>
                <c:pt idx="285">
                  <c:v>-0.99466471214221697</c:v>
                </c:pt>
                <c:pt idx="286">
                  <c:v>7.2229488726201371E-2</c:v>
                </c:pt>
                <c:pt idx="287">
                  <c:v>-0.67301561661501041</c:v>
                </c:pt>
                <c:pt idx="288">
                  <c:v>-0.88820528715102087</c:v>
                </c:pt>
                <c:pt idx="289">
                  <c:v>0.61707043394869954</c:v>
                </c:pt>
                <c:pt idx="290">
                  <c:v>4.1151210647659759</c:v>
                </c:pt>
                <c:pt idx="291">
                  <c:v>4.5148329184851672</c:v>
                </c:pt>
                <c:pt idx="292">
                  <c:v>4.7556817865377186</c:v>
                </c:pt>
                <c:pt idx="293">
                  <c:v>3.5111965572497081</c:v>
                </c:pt>
                <c:pt idx="294">
                  <c:v>-0.80244018513936421</c:v>
                </c:pt>
                <c:pt idx="295">
                  <c:v>5.0893899042093977</c:v>
                </c:pt>
                <c:pt idx="296">
                  <c:v>3.6872643588042484</c:v>
                </c:pt>
                <c:pt idx="297">
                  <c:v>2.8744647716637548</c:v>
                </c:pt>
                <c:pt idx="298">
                  <c:v>2.6981314604052349</c:v>
                </c:pt>
                <c:pt idx="299">
                  <c:v>1.2168058347753661</c:v>
                </c:pt>
                <c:pt idx="300">
                  <c:v>-3.4616367652045708</c:v>
                </c:pt>
                <c:pt idx="301">
                  <c:v>-3.323171294596388</c:v>
                </c:pt>
                <c:pt idx="302">
                  <c:v>-3.1847058239882049</c:v>
                </c:pt>
                <c:pt idx="303">
                  <c:v>-3.0462403533800222</c:v>
                </c:pt>
                <c:pt idx="304">
                  <c:v>-2.9077748827718395</c:v>
                </c:pt>
                <c:pt idx="305">
                  <c:v>-2.7693094121636568</c:v>
                </c:pt>
                <c:pt idx="306">
                  <c:v>-2.6308439415554736</c:v>
                </c:pt>
                <c:pt idx="307">
                  <c:v>-2.4923784709472909</c:v>
                </c:pt>
                <c:pt idx="308">
                  <c:v>-2.3539130003391082</c:v>
                </c:pt>
                <c:pt idx="309">
                  <c:v>-2.2154475297309251</c:v>
                </c:pt>
                <c:pt idx="310">
                  <c:v>-2.0769820591227424</c:v>
                </c:pt>
                <c:pt idx="311">
                  <c:v>-1.9385165885145597</c:v>
                </c:pt>
                <c:pt idx="312">
                  <c:v>-1.8000511179063767</c:v>
                </c:pt>
                <c:pt idx="313">
                  <c:v>-1.661585647298194</c:v>
                </c:pt>
                <c:pt idx="314">
                  <c:v>-1.5231201766900111</c:v>
                </c:pt>
                <c:pt idx="315">
                  <c:v>-1.3846547060818284</c:v>
                </c:pt>
                <c:pt idx="316">
                  <c:v>-1.2461892354736457</c:v>
                </c:pt>
                <c:pt idx="317">
                  <c:v>-1.1077237648654625</c:v>
                </c:pt>
                <c:pt idx="318">
                  <c:v>-0.96925829425727983</c:v>
                </c:pt>
                <c:pt idx="319">
                  <c:v>-0.83079282364909668</c:v>
                </c:pt>
                <c:pt idx="320">
                  <c:v>-0.69232735304091397</c:v>
                </c:pt>
                <c:pt idx="321">
                  <c:v>-0.55386188243273171</c:v>
                </c:pt>
                <c:pt idx="322">
                  <c:v>-0.41539641182454856</c:v>
                </c:pt>
                <c:pt idx="323">
                  <c:v>-0.27693094121636586</c:v>
                </c:pt>
                <c:pt idx="324">
                  <c:v>-0.13846547060818271</c:v>
                </c:pt>
                <c:pt idx="325">
                  <c:v>0</c:v>
                </c:pt>
                <c:pt idx="326">
                  <c:v>0.13846547060818271</c:v>
                </c:pt>
                <c:pt idx="327">
                  <c:v>0.27693094121636541</c:v>
                </c:pt>
                <c:pt idx="328">
                  <c:v>0.41539641182454856</c:v>
                </c:pt>
                <c:pt idx="329">
                  <c:v>0.55386188243273127</c:v>
                </c:pt>
                <c:pt idx="330">
                  <c:v>0.69232735304091397</c:v>
                </c:pt>
                <c:pt idx="331">
                  <c:v>0.83079282364909668</c:v>
                </c:pt>
                <c:pt idx="332">
                  <c:v>0.96925829425727938</c:v>
                </c:pt>
                <c:pt idx="333">
                  <c:v>1.107723764865463</c:v>
                </c:pt>
                <c:pt idx="334">
                  <c:v>1.2461892354736457</c:v>
                </c:pt>
                <c:pt idx="335">
                  <c:v>1.3846547060818284</c:v>
                </c:pt>
                <c:pt idx="336">
                  <c:v>1.5231201766900111</c:v>
                </c:pt>
                <c:pt idx="337">
                  <c:v>1.6615856472981938</c:v>
                </c:pt>
                <c:pt idx="338">
                  <c:v>1.8000511179063774</c:v>
                </c:pt>
                <c:pt idx="339">
                  <c:v>1.9385165885145592</c:v>
                </c:pt>
                <c:pt idx="340">
                  <c:v>2.0769820591227428</c:v>
                </c:pt>
                <c:pt idx="341">
                  <c:v>2.2154475297309255</c:v>
                </c:pt>
                <c:pt idx="342">
                  <c:v>2.3539130003391073</c:v>
                </c:pt>
                <c:pt idx="343">
                  <c:v>2.4923784709472909</c:v>
                </c:pt>
                <c:pt idx="344">
                  <c:v>2.6308439415554736</c:v>
                </c:pt>
                <c:pt idx="345">
                  <c:v>2.7693094121636572</c:v>
                </c:pt>
                <c:pt idx="346">
                  <c:v>2.907774882771839</c:v>
                </c:pt>
                <c:pt idx="347">
                  <c:v>3.0462403533800217</c:v>
                </c:pt>
                <c:pt idx="348">
                  <c:v>3.1847058239882053</c:v>
                </c:pt>
                <c:pt idx="349">
                  <c:v>3.323171294596388</c:v>
                </c:pt>
                <c:pt idx="350">
                  <c:v>3.4616367652045716</c:v>
                </c:pt>
                <c:pt idx="351">
                  <c:v>1.5522531693191839</c:v>
                </c:pt>
                <c:pt idx="352">
                  <c:v>1.6501630425464167</c:v>
                </c:pt>
                <c:pt idx="353">
                  <c:v>1.748072915773649</c:v>
                </c:pt>
                <c:pt idx="354">
                  <c:v>1.8459827890008818</c:v>
                </c:pt>
                <c:pt idx="355">
                  <c:v>1.9438926622281145</c:v>
                </c:pt>
                <c:pt idx="356">
                  <c:v>2.0418025354553473</c:v>
                </c:pt>
                <c:pt idx="357">
                  <c:v>2.1397124086825796</c:v>
                </c:pt>
                <c:pt idx="358">
                  <c:v>2.2376222819098124</c:v>
                </c:pt>
                <c:pt idx="359">
                  <c:v>2.3355321551370452</c:v>
                </c:pt>
                <c:pt idx="360">
                  <c:v>2.4334420283642775</c:v>
                </c:pt>
                <c:pt idx="361">
                  <c:v>2.5313519015915102</c:v>
                </c:pt>
                <c:pt idx="362">
                  <c:v>2.629261774818743</c:v>
                </c:pt>
                <c:pt idx="363">
                  <c:v>2.7271716480459753</c:v>
                </c:pt>
                <c:pt idx="364">
                  <c:v>2.8250815212732086</c:v>
                </c:pt>
                <c:pt idx="365">
                  <c:v>2.9229913945004409</c:v>
                </c:pt>
                <c:pt idx="366">
                  <c:v>3.0209012677276736</c:v>
                </c:pt>
                <c:pt idx="367">
                  <c:v>3.1188111409549064</c:v>
                </c:pt>
                <c:pt idx="368">
                  <c:v>3.2167210141821387</c:v>
                </c:pt>
                <c:pt idx="369">
                  <c:v>3.3146308874093715</c:v>
                </c:pt>
                <c:pt idx="370">
                  <c:v>3.4125407606366043</c:v>
                </c:pt>
                <c:pt idx="371">
                  <c:v>3.5104506338638366</c:v>
                </c:pt>
                <c:pt idx="372">
                  <c:v>3.6083605070910694</c:v>
                </c:pt>
                <c:pt idx="373">
                  <c:v>3.7062703803183021</c:v>
                </c:pt>
                <c:pt idx="374">
                  <c:v>3.8041802535455349</c:v>
                </c:pt>
                <c:pt idx="375">
                  <c:v>3.9020901267727672</c:v>
                </c:pt>
                <c:pt idx="376">
                  <c:v>4</c:v>
                </c:pt>
                <c:pt idx="377">
                  <c:v>4.0979098732272323</c:v>
                </c:pt>
                <c:pt idx="378">
                  <c:v>4.1958197464544646</c:v>
                </c:pt>
                <c:pt idx="379">
                  <c:v>4.2937296196816979</c:v>
                </c:pt>
                <c:pt idx="380">
                  <c:v>4.3916394929089302</c:v>
                </c:pt>
                <c:pt idx="381">
                  <c:v>4.4895493661361634</c:v>
                </c:pt>
                <c:pt idx="382">
                  <c:v>4.5874592393633957</c:v>
                </c:pt>
                <c:pt idx="383">
                  <c:v>4.685369112590628</c:v>
                </c:pt>
                <c:pt idx="384">
                  <c:v>4.7832789858178613</c:v>
                </c:pt>
                <c:pt idx="385">
                  <c:v>4.8811888590450936</c:v>
                </c:pt>
                <c:pt idx="386">
                  <c:v>4.9790987322723268</c:v>
                </c:pt>
                <c:pt idx="387">
                  <c:v>5.0770086054995591</c:v>
                </c:pt>
                <c:pt idx="388">
                  <c:v>5.1749184787267914</c:v>
                </c:pt>
                <c:pt idx="389">
                  <c:v>5.2728283519540238</c:v>
                </c:pt>
                <c:pt idx="390">
                  <c:v>5.370738225181257</c:v>
                </c:pt>
                <c:pt idx="391">
                  <c:v>5.4686480984084902</c:v>
                </c:pt>
                <c:pt idx="392">
                  <c:v>5.5665579716357225</c:v>
                </c:pt>
                <c:pt idx="393">
                  <c:v>5.6644678448629548</c:v>
                </c:pt>
                <c:pt idx="394">
                  <c:v>5.7623777180901872</c:v>
                </c:pt>
                <c:pt idx="395">
                  <c:v>5.8602875913174204</c:v>
                </c:pt>
                <c:pt idx="396">
                  <c:v>5.9581974645446527</c:v>
                </c:pt>
                <c:pt idx="397">
                  <c:v>6.0561073377718859</c:v>
                </c:pt>
                <c:pt idx="398">
                  <c:v>6.1540172109991182</c:v>
                </c:pt>
                <c:pt idx="399">
                  <c:v>6.2519270842263506</c:v>
                </c:pt>
                <c:pt idx="400">
                  <c:v>6.3498369574535838</c:v>
                </c:pt>
                <c:pt idx="401">
                  <c:v>6.4477468306808161</c:v>
                </c:pt>
              </c:numCache>
            </c:numRef>
          </c:xVal>
          <c:yVal>
            <c:numRef>
              <c:f>'Simulation data'!$K$21:$K$422</c:f>
              <c:numCache>
                <c:formatCode>General</c:formatCode>
                <c:ptCount val="40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2.5313518634259164</c:v>
                </c:pt>
                <c:pt idx="352">
                  <c:v>1.7123971102444697</c:v>
                </c:pt>
                <c:pt idx="353">
                  <c:v>1.4203186641384207</c:v>
                </c:pt>
                <c:pt idx="354">
                  <c:v>1.2187155957844271</c:v>
                </c:pt>
                <c:pt idx="355">
                  <c:v>1.0655196323434524</c:v>
                </c:pt>
                <c:pt idx="356">
                  <c:v>0.94429427423739565</c:v>
                </c:pt>
                <c:pt idx="357">
                  <c:v>0.84654906842708355</c:v>
                </c:pt>
                <c:pt idx="358">
                  <c:v>0.76721075696946794</c:v>
                </c:pt>
                <c:pt idx="359">
                  <c:v>0.70295931290910119</c:v>
                </c:pt>
                <c:pt idx="360">
                  <c:v>0.65148233562864322</c:v>
                </c:pt>
                <c:pt idx="361">
                  <c:v>0.61109481157382239</c:v>
                </c:pt>
                <c:pt idx="362">
                  <c:v>0.58052651543264044</c:v>
                </c:pt>
                <c:pt idx="363">
                  <c:v>0.55879464055772932</c:v>
                </c:pt>
                <c:pt idx="364">
                  <c:v>0.54512327207015243</c:v>
                </c:pt>
                <c:pt idx="365">
                  <c:v>0.53889023837155481</c:v>
                </c:pt>
                <c:pt idx="366">
                  <c:v>0.53959078542019689</c:v>
                </c:pt>
                <c:pt idx="367">
                  <c:v>0.54681202806511697</c:v>
                </c:pt>
                <c:pt idx="368">
                  <c:v>0.56021455565251532</c:v>
                </c:pt>
                <c:pt idx="369">
                  <c:v>0.57951893718832226</c:v>
                </c:pt>
                <c:pt idx="370">
                  <c:v>0.60449567730689724</c:v>
                </c:pt>
                <c:pt idx="371">
                  <c:v>0.63495766700387835</c:v>
                </c:pt>
                <c:pt idx="372">
                  <c:v>0.67075448441597318</c:v>
                </c:pt>
                <c:pt idx="373">
                  <c:v>0.71176810375684507</c:v>
                </c:pt>
                <c:pt idx="374">
                  <c:v>0.75790970666738522</c:v>
                </c:pt>
                <c:pt idx="375">
                  <c:v>0.80911738455649074</c:v>
                </c:pt>
                <c:pt idx="376">
                  <c:v>0.86535458827364486</c:v>
                </c:pt>
                <c:pt idx="377">
                  <c:v>0.9266092324291697</c:v>
                </c:pt>
                <c:pt idx="378">
                  <c:v>0.99289340241274315</c:v>
                </c:pt>
                <c:pt idx="379">
                  <c:v>1.064243647374882</c:v>
                </c:pt>
                <c:pt idx="380">
                  <c:v>1.1407218759066895</c:v>
                </c:pt>
                <c:pt idx="381">
                  <c:v>1.2224169063672741</c:v>
                </c:pt>
                <c:pt idx="382">
                  <c:v>1.3094467645429728</c:v>
                </c:pt>
                <c:pt idx="383">
                  <c:v>1.4019618722970759</c:v>
                </c:pt>
                <c:pt idx="384">
                  <c:v>1.5001493386339488</c:v>
                </c:pt>
                <c:pt idx="385">
                  <c:v>1.604238658919229</c:v>
                </c:pt>
                <c:pt idx="386">
                  <c:v>1.7145092641469892</c:v>
                </c:pt>
                <c:pt idx="387">
                  <c:v>1.8313005649710252</c:v>
                </c:pt>
                <c:pt idx="388">
                  <c:v>1.9550254465423023</c:v>
                </c:pt>
                <c:pt idx="389">
                  <c:v>2.0861886629025586</c:v>
                </c:pt>
                <c:pt idx="390">
                  <c:v>2.2254123856501487</c:v>
                </c:pt>
                <c:pt idx="391">
                  <c:v>2.3734725296640096</c:v>
                </c:pt>
                <c:pt idx="392">
                  <c:v>2.5313519015915098</c:v>
                </c:pt>
                <c:pt idx="393">
                  <c:v>2.7003207267446463</c:v>
                </c:pt>
                <c:pt idx="394">
                  <c:v>2.882064018677692</c:v>
                </c:pt>
                <c:pt idx="395">
                  <c:v>3.0788941780079875</c:v>
                </c:pt>
                <c:pt idx="396">
                  <c:v>3.2941312316909781</c:v>
                </c:pt>
                <c:pt idx="397">
                  <c:v>3.5328484376697151</c:v>
                </c:pt>
                <c:pt idx="398">
                  <c:v>3.8035362489833684</c:v>
                </c:pt>
                <c:pt idx="399">
                  <c:v>4.1226311652100396</c:v>
                </c:pt>
                <c:pt idx="400">
                  <c:v>4.532201459188772</c:v>
                </c:pt>
                <c:pt idx="401">
                  <c:v>5.4686480602428951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31936"/>
        <c:axId val="49947392"/>
      </c:scatterChart>
      <c:valAx>
        <c:axId val="50231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49947392"/>
        <c:crosses val="autoZero"/>
        <c:crossBetween val="midCat"/>
      </c:valAx>
      <c:valAx>
        <c:axId val="499473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502319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15</xdr:row>
      <xdr:rowOff>9525</xdr:rowOff>
    </xdr:from>
    <xdr:to>
      <xdr:col>13</xdr:col>
      <xdr:colOff>0</xdr:colOff>
      <xdr:row>147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9524</xdr:colOff>
      <xdr:row>15</xdr:row>
      <xdr:rowOff>9524</xdr:rowOff>
    </xdr:from>
    <xdr:to>
      <xdr:col>23</xdr:col>
      <xdr:colOff>9525</xdr:colOff>
      <xdr:row>146</xdr:row>
      <xdr:rowOff>180975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2</xdr:row>
      <xdr:rowOff>0</xdr:rowOff>
    </xdr:from>
    <xdr:to>
      <xdr:col>16</xdr:col>
      <xdr:colOff>19050</xdr:colOff>
      <xdr:row>20</xdr:row>
      <xdr:rowOff>9526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00"/>
  <sheetViews>
    <sheetView tabSelected="1" topLeftCell="A10" zoomScaleNormal="100" workbookViewId="0">
      <selection activeCell="I11" sqref="I11"/>
    </sheetView>
  </sheetViews>
  <sheetFormatPr defaultRowHeight="15" x14ac:dyDescent="0.25"/>
  <cols>
    <col min="3" max="3" width="12.7109375" customWidth="1"/>
    <col min="5" max="5" width="13.140625" customWidth="1"/>
    <col min="6" max="6" width="13.85546875" customWidth="1"/>
    <col min="14" max="14" width="12.5703125" customWidth="1"/>
  </cols>
  <sheetData>
    <row r="1" spans="2:15" x14ac:dyDescent="0.25">
      <c r="C1" s="16" t="s">
        <v>12</v>
      </c>
      <c r="D1" s="17"/>
      <c r="E1" s="17"/>
      <c r="F1" s="9" t="s">
        <v>23</v>
      </c>
      <c r="G1" s="1">
        <v>0.50845090000000004</v>
      </c>
    </row>
    <row r="3" spans="2:15" x14ac:dyDescent="0.25">
      <c r="B3" s="3"/>
      <c r="C3" s="5" t="s">
        <v>2</v>
      </c>
      <c r="D3" s="5" t="s">
        <v>7</v>
      </c>
      <c r="E3" s="5" t="s">
        <v>9</v>
      </c>
      <c r="F3" s="5" t="s">
        <v>8</v>
      </c>
      <c r="I3" s="7" t="s">
        <v>3</v>
      </c>
      <c r="J3" s="7" t="s">
        <v>4</v>
      </c>
      <c r="K3" s="7" t="s">
        <v>5</v>
      </c>
    </row>
    <row r="4" spans="2:15" x14ac:dyDescent="0.25">
      <c r="B4" s="6" t="s">
        <v>0</v>
      </c>
      <c r="C4" s="4">
        <v>0.17277148000000001</v>
      </c>
      <c r="D4" s="4">
        <v>1.2332897</v>
      </c>
      <c r="E4" s="4">
        <v>0.18602669999999999</v>
      </c>
      <c r="F4" s="4">
        <f>SQRT(D4)</f>
        <v>1.110535771598556</v>
      </c>
      <c r="I4" s="8">
        <f>(D5/D7)/2</f>
        <v>0.4169335039397396</v>
      </c>
      <c r="J4" s="8">
        <f>(D4/D7)/2</f>
        <v>0.50605374760779809</v>
      </c>
      <c r="K4" s="8">
        <f>-(E4/D7)/2</f>
        <v>-7.6332031873866751E-2</v>
      </c>
    </row>
    <row r="5" spans="2:15" x14ac:dyDescent="0.25">
      <c r="B5" s="6" t="s">
        <v>1</v>
      </c>
      <c r="C5" s="4">
        <v>3.419084E-2</v>
      </c>
      <c r="D5" s="4">
        <v>1.0160971999999999</v>
      </c>
      <c r="E5" s="4"/>
      <c r="F5" s="4">
        <f>SQRT(D5)</f>
        <v>1.008016468119445</v>
      </c>
    </row>
    <row r="6" spans="2:15" x14ac:dyDescent="0.25">
      <c r="N6" s="1" t="s">
        <v>29</v>
      </c>
      <c r="O6">
        <v>50</v>
      </c>
    </row>
    <row r="7" spans="2:15" x14ac:dyDescent="0.25">
      <c r="C7" s="7" t="s">
        <v>6</v>
      </c>
      <c r="D7" s="8">
        <f>D4*D5-E4^2</f>
        <v>1.2185362778459499</v>
      </c>
      <c r="H7" t="s">
        <v>17</v>
      </c>
      <c r="I7" t="s">
        <v>18</v>
      </c>
      <c r="J7" t="s">
        <v>19</v>
      </c>
      <c r="K7" t="s">
        <v>20</v>
      </c>
      <c r="L7" s="7" t="s">
        <v>21</v>
      </c>
      <c r="M7" s="7" t="s">
        <v>22</v>
      </c>
      <c r="N7" t="s">
        <v>25</v>
      </c>
    </row>
    <row r="8" spans="2:15" x14ac:dyDescent="0.25">
      <c r="C8" s="7" t="s">
        <v>11</v>
      </c>
      <c r="D8" s="8">
        <f>E4/(F4*F5)</f>
        <v>0.16617860253787292</v>
      </c>
      <c r="G8" s="7" t="s">
        <v>0</v>
      </c>
      <c r="H8">
        <f>C4-3*F4</f>
        <v>-3.1588358347956675</v>
      </c>
      <c r="I8">
        <f>C14-3*F14</f>
        <v>0.76514424109768298</v>
      </c>
      <c r="J8">
        <f>C4+3*F4</f>
        <v>3.5043787947956679</v>
      </c>
      <c r="K8">
        <f>C14+3*F14</f>
        <v>6.5521137589023173</v>
      </c>
      <c r="L8" s="7">
        <f>MIN(H8,I8)</f>
        <v>-3.1588358347956675</v>
      </c>
      <c r="M8" s="7">
        <f>MAX(J8,K8)</f>
        <v>6.5521137589023173</v>
      </c>
      <c r="N8">
        <f>(M8-L8)/$O$6</f>
        <v>0.19421899187395969</v>
      </c>
    </row>
    <row r="9" spans="2:15" x14ac:dyDescent="0.25">
      <c r="G9" s="7" t="s">
        <v>1</v>
      </c>
      <c r="H9">
        <f>C5-3*F5</f>
        <v>-2.9898585643583351</v>
      </c>
      <c r="I9">
        <f>C15-3*F15</f>
        <v>1.476347168088457</v>
      </c>
      <c r="J9">
        <f>C5+3*F5</f>
        <v>3.058240244358335</v>
      </c>
      <c r="K9">
        <f>C15+3*F15</f>
        <v>6.5694748319115419</v>
      </c>
      <c r="L9" s="7">
        <f>MIN(H9,I9)</f>
        <v>-2.9898585643583351</v>
      </c>
      <c r="M9" s="7">
        <f>MAX(J9,K9)</f>
        <v>6.5694748319115419</v>
      </c>
      <c r="N9">
        <f>(M9-L9)/$O$6</f>
        <v>0.19118666792539757</v>
      </c>
    </row>
    <row r="11" spans="2:15" x14ac:dyDescent="0.25">
      <c r="C11" s="16" t="s">
        <v>13</v>
      </c>
      <c r="D11" s="17"/>
      <c r="E11" s="17"/>
      <c r="F11" s="10" t="s">
        <v>24</v>
      </c>
      <c r="G11" s="1">
        <f>1-G1</f>
        <v>0.49154909999999996</v>
      </c>
    </row>
    <row r="13" spans="2:15" x14ac:dyDescent="0.25">
      <c r="B13" s="3"/>
      <c r="C13" s="5" t="s">
        <v>2</v>
      </c>
      <c r="D13" s="5" t="s">
        <v>7</v>
      </c>
      <c r="E13" s="5" t="s">
        <v>9</v>
      </c>
      <c r="F13" s="5" t="s">
        <v>8</v>
      </c>
      <c r="I13" s="7" t="s">
        <v>14</v>
      </c>
      <c r="J13" s="7" t="s">
        <v>15</v>
      </c>
      <c r="K13" s="7" t="s">
        <v>16</v>
      </c>
    </row>
    <row r="14" spans="2:15" x14ac:dyDescent="0.25">
      <c r="B14" s="6" t="s">
        <v>0</v>
      </c>
      <c r="C14" s="4">
        <v>3.6586289999999999</v>
      </c>
      <c r="D14" s="4">
        <v>0.93025044999999995</v>
      </c>
      <c r="E14" s="4">
        <v>-9.9409910000000004E-2</v>
      </c>
      <c r="F14" s="4">
        <f>SQRT(D14)</f>
        <v>0.96449491963410572</v>
      </c>
      <c r="I14" s="8">
        <f>(D15/D17)/2</f>
        <v>0.54553257818057677</v>
      </c>
      <c r="J14" s="8">
        <f>(D14/D17)/2</f>
        <v>0.70429394701583725</v>
      </c>
      <c r="K14" s="8">
        <f>-(E14/D17)/2</f>
        <v>7.5263385130734592E-2</v>
      </c>
    </row>
    <row r="15" spans="2:15" x14ac:dyDescent="0.25">
      <c r="B15" s="6" t="s">
        <v>1</v>
      </c>
      <c r="C15" s="4">
        <v>4.0229109999999997</v>
      </c>
      <c r="D15" s="4">
        <v>0.72055415</v>
      </c>
      <c r="E15" s="4"/>
      <c r="F15" s="4">
        <f>SQRT(D15)</f>
        <v>0.84885461063718093</v>
      </c>
    </row>
    <row r="17" spans="1:63" x14ac:dyDescent="0.25">
      <c r="C17" s="7" t="s">
        <v>6</v>
      </c>
      <c r="D17" s="8">
        <f>D14*D15-E14^2</f>
        <v>0.66041349208065936</v>
      </c>
    </row>
    <row r="18" spans="1:63" x14ac:dyDescent="0.25">
      <c r="C18" s="7" t="s">
        <v>11</v>
      </c>
      <c r="D18" s="8">
        <f>E14/(F14*F15)</f>
        <v>-0.12142173222646259</v>
      </c>
    </row>
    <row r="30" spans="1:63" hidden="1" x14ac:dyDescent="0.25">
      <c r="A30" s="18" t="s">
        <v>26</v>
      </c>
      <c r="B30" s="18"/>
    </row>
    <row r="31" spans="1:63" hidden="1" x14ac:dyDescent="0.25"/>
    <row r="32" spans="1:63" hidden="1" x14ac:dyDescent="0.25">
      <c r="B32" s="7" t="s">
        <v>0</v>
      </c>
      <c r="C32" s="1">
        <v>1</v>
      </c>
      <c r="D32" s="1">
        <v>2</v>
      </c>
      <c r="E32" s="1">
        <v>3</v>
      </c>
      <c r="F32" s="1">
        <v>4</v>
      </c>
      <c r="G32" s="1">
        <v>5</v>
      </c>
      <c r="H32" s="1">
        <v>6</v>
      </c>
      <c r="I32" s="1">
        <v>7</v>
      </c>
      <c r="J32" s="1">
        <v>8</v>
      </c>
      <c r="K32" s="1">
        <v>9</v>
      </c>
      <c r="L32" s="1">
        <v>10</v>
      </c>
      <c r="M32" s="1">
        <v>11</v>
      </c>
      <c r="N32" s="1">
        <v>12</v>
      </c>
      <c r="O32" s="1">
        <v>13</v>
      </c>
      <c r="P32" s="1">
        <v>14</v>
      </c>
      <c r="Q32" s="1">
        <v>15</v>
      </c>
      <c r="R32" s="1">
        <v>16</v>
      </c>
      <c r="S32" s="1">
        <v>17</v>
      </c>
      <c r="T32" s="1">
        <v>18</v>
      </c>
      <c r="U32" s="1">
        <v>19</v>
      </c>
      <c r="V32" s="1">
        <v>20</v>
      </c>
      <c r="W32" s="1">
        <v>21</v>
      </c>
      <c r="X32" s="1">
        <v>22</v>
      </c>
      <c r="Y32" s="1">
        <v>23</v>
      </c>
      <c r="Z32" s="1">
        <v>24</v>
      </c>
      <c r="AA32" s="1">
        <v>25</v>
      </c>
      <c r="AB32" s="1">
        <v>26</v>
      </c>
      <c r="AC32" s="1">
        <v>27</v>
      </c>
      <c r="AD32" s="1">
        <v>28</v>
      </c>
      <c r="AE32" s="1">
        <v>29</v>
      </c>
      <c r="AF32" s="1">
        <v>30</v>
      </c>
      <c r="AG32" s="1">
        <v>31</v>
      </c>
      <c r="AH32" s="1">
        <v>32</v>
      </c>
      <c r="AI32" s="1">
        <v>33</v>
      </c>
      <c r="AJ32" s="1">
        <v>34</v>
      </c>
      <c r="AK32" s="1">
        <v>35</v>
      </c>
      <c r="AL32" s="1">
        <v>36</v>
      </c>
      <c r="AM32" s="1">
        <v>37</v>
      </c>
      <c r="AN32" s="1">
        <v>38</v>
      </c>
      <c r="AO32" s="1">
        <v>39</v>
      </c>
      <c r="AP32" s="1">
        <v>40</v>
      </c>
      <c r="AQ32" s="1">
        <v>41</v>
      </c>
      <c r="AR32" s="1">
        <v>42</v>
      </c>
      <c r="AS32" s="1">
        <v>43</v>
      </c>
      <c r="AT32" s="1">
        <v>44</v>
      </c>
      <c r="AU32" s="1">
        <v>45</v>
      </c>
      <c r="AV32" s="1">
        <v>46</v>
      </c>
      <c r="AW32" s="1">
        <v>47</v>
      </c>
      <c r="AX32" s="1">
        <v>48</v>
      </c>
      <c r="AY32" s="1">
        <v>49</v>
      </c>
      <c r="AZ32" s="1">
        <v>50</v>
      </c>
      <c r="BA32" s="1">
        <v>51</v>
      </c>
      <c r="BB32" s="1"/>
      <c r="BC32" s="1"/>
      <c r="BD32" s="1"/>
      <c r="BE32" s="1"/>
      <c r="BF32" s="1"/>
      <c r="BG32" s="1"/>
      <c r="BH32" s="1"/>
      <c r="BI32" s="1"/>
      <c r="BJ32" s="1"/>
      <c r="BK32" s="1"/>
    </row>
    <row r="33" spans="1:63" hidden="1" x14ac:dyDescent="0.25">
      <c r="A33" s="7" t="s">
        <v>1</v>
      </c>
      <c r="C33" s="2">
        <f>$L$8</f>
        <v>-3.1588358347956675</v>
      </c>
      <c r="D33" s="2">
        <f>$C$33+$N$8*(D32-1)</f>
        <v>-2.9646168429217079</v>
      </c>
      <c r="E33" s="2">
        <f t="shared" ref="E33:BA33" si="0">$C$33+$N$8*(E32-1)</f>
        <v>-2.7703978510477483</v>
      </c>
      <c r="F33" s="2">
        <f t="shared" si="0"/>
        <v>-2.5761788591737886</v>
      </c>
      <c r="G33" s="2">
        <f t="shared" si="0"/>
        <v>-2.3819598672998286</v>
      </c>
      <c r="H33" s="2">
        <f t="shared" si="0"/>
        <v>-2.1877408754258694</v>
      </c>
      <c r="I33" s="2">
        <f t="shared" si="0"/>
        <v>-1.9935218835519093</v>
      </c>
      <c r="J33" s="2">
        <f t="shared" si="0"/>
        <v>-1.7993028916779497</v>
      </c>
      <c r="K33" s="2">
        <f t="shared" si="0"/>
        <v>-1.60508389980399</v>
      </c>
      <c r="L33" s="2">
        <f t="shared" si="0"/>
        <v>-1.4108649079300304</v>
      </c>
      <c r="M33" s="2">
        <f t="shared" si="0"/>
        <v>-1.2166459160560708</v>
      </c>
      <c r="N33" s="2">
        <f t="shared" si="0"/>
        <v>-1.0224269241821111</v>
      </c>
      <c r="O33" s="2">
        <f t="shared" si="0"/>
        <v>-0.82820793230815104</v>
      </c>
      <c r="P33" s="2">
        <f t="shared" si="0"/>
        <v>-0.63398894043419141</v>
      </c>
      <c r="Q33" s="2">
        <f t="shared" si="0"/>
        <v>-0.43976994856023177</v>
      </c>
      <c r="R33" s="2">
        <f t="shared" si="0"/>
        <v>-0.24555095668627214</v>
      </c>
      <c r="S33" s="2">
        <f t="shared" si="0"/>
        <v>-5.1331964812312503E-2</v>
      </c>
      <c r="T33" s="2">
        <f t="shared" si="0"/>
        <v>0.14288702706164713</v>
      </c>
      <c r="U33" s="2">
        <f t="shared" si="0"/>
        <v>0.33710601893560677</v>
      </c>
      <c r="V33" s="2">
        <f t="shared" si="0"/>
        <v>0.5313250108095664</v>
      </c>
      <c r="W33" s="2">
        <f t="shared" si="0"/>
        <v>0.72554400268352603</v>
      </c>
      <c r="X33" s="2">
        <f t="shared" si="0"/>
        <v>0.91976299455748611</v>
      </c>
      <c r="Y33" s="2">
        <f t="shared" si="0"/>
        <v>1.1139819864314453</v>
      </c>
      <c r="Z33" s="2">
        <f t="shared" si="0"/>
        <v>1.3082009783054054</v>
      </c>
      <c r="AA33" s="2">
        <f t="shared" si="0"/>
        <v>1.5024199701793655</v>
      </c>
      <c r="AB33" s="2">
        <f t="shared" si="0"/>
        <v>1.6966389620533247</v>
      </c>
      <c r="AC33" s="2">
        <f t="shared" si="0"/>
        <v>1.8908579539272847</v>
      </c>
      <c r="AD33" s="2">
        <f t="shared" si="0"/>
        <v>2.0850769458012439</v>
      </c>
      <c r="AE33" s="2">
        <f t="shared" si="0"/>
        <v>2.279295937675204</v>
      </c>
      <c r="AF33" s="2">
        <f t="shared" si="0"/>
        <v>2.4735149295491632</v>
      </c>
      <c r="AG33" s="2">
        <f t="shared" si="0"/>
        <v>2.6677339214231233</v>
      </c>
      <c r="AH33" s="2">
        <f t="shared" si="0"/>
        <v>2.8619529132970825</v>
      </c>
      <c r="AI33" s="2">
        <f t="shared" si="0"/>
        <v>3.0561719051710425</v>
      </c>
      <c r="AJ33" s="2">
        <f t="shared" si="0"/>
        <v>3.2503908970450026</v>
      </c>
      <c r="AK33" s="2">
        <f t="shared" si="0"/>
        <v>3.4446098889189618</v>
      </c>
      <c r="AL33" s="2">
        <f t="shared" si="0"/>
        <v>3.6388288807929219</v>
      </c>
      <c r="AM33" s="2">
        <f t="shared" si="0"/>
        <v>3.8330478726668811</v>
      </c>
      <c r="AN33" s="2">
        <f t="shared" si="0"/>
        <v>4.0272668645408416</v>
      </c>
      <c r="AO33" s="2">
        <f t="shared" si="0"/>
        <v>4.2214858564147999</v>
      </c>
      <c r="AP33" s="2">
        <f t="shared" si="0"/>
        <v>4.41570484828876</v>
      </c>
      <c r="AQ33" s="2">
        <f t="shared" si="0"/>
        <v>4.6099238401627201</v>
      </c>
      <c r="AR33" s="2">
        <f t="shared" si="0"/>
        <v>4.8041428320366801</v>
      </c>
      <c r="AS33" s="2">
        <f t="shared" si="0"/>
        <v>4.9983618239106402</v>
      </c>
      <c r="AT33" s="2">
        <f t="shared" si="0"/>
        <v>5.1925808157846003</v>
      </c>
      <c r="AU33" s="2">
        <f t="shared" si="0"/>
        <v>5.3867998076585586</v>
      </c>
      <c r="AV33" s="2">
        <f t="shared" si="0"/>
        <v>5.5810187995325187</v>
      </c>
      <c r="AW33" s="2">
        <f t="shared" si="0"/>
        <v>5.7752377914064787</v>
      </c>
      <c r="AX33" s="2">
        <f t="shared" si="0"/>
        <v>5.9694567832804388</v>
      </c>
      <c r="AY33" s="2">
        <f t="shared" si="0"/>
        <v>6.1636757751543989</v>
      </c>
      <c r="AZ33" s="2">
        <f t="shared" si="0"/>
        <v>6.3578947670283572</v>
      </c>
      <c r="BA33" s="2">
        <f t="shared" si="0"/>
        <v>6.5521137589023173</v>
      </c>
      <c r="BB33" s="2"/>
      <c r="BC33" s="2"/>
      <c r="BD33" s="2"/>
      <c r="BE33" s="2"/>
      <c r="BF33" s="2"/>
      <c r="BG33" s="2"/>
      <c r="BH33" s="2"/>
      <c r="BI33" s="2"/>
      <c r="BJ33" s="2"/>
      <c r="BK33" s="2"/>
    </row>
    <row r="34" spans="1:63" hidden="1" x14ac:dyDescent="0.25">
      <c r="A34" s="1">
        <v>1</v>
      </c>
      <c r="B34" s="2">
        <f>$H$9</f>
        <v>-2.9898585643583351</v>
      </c>
      <c r="C34">
        <f t="shared" ref="C34:L43" si="1">SQRT($I$4*$J$4-$K$4^2)/PI()*EXP(-($I$4*((C$33-$C$4)^2)+2*$K$4*(C$33-$C$4)*($B34-$C$5)+$J$4*(($B34-$C$5)^2)))</f>
        <v>6.4154487637790251E-5</v>
      </c>
      <c r="D34">
        <f t="shared" si="1"/>
        <v>9.9034294646611825E-5</v>
      </c>
      <c r="E34">
        <f t="shared" si="1"/>
        <v>1.4814389219864073E-4</v>
      </c>
      <c r="F34">
        <f t="shared" si="1"/>
        <v>2.1474420591921275E-4</v>
      </c>
      <c r="G34">
        <f t="shared" si="1"/>
        <v>3.016468017727306E-4</v>
      </c>
      <c r="H34">
        <f t="shared" si="1"/>
        <v>4.1059680096891391E-4</v>
      </c>
      <c r="I34">
        <f t="shared" si="1"/>
        <v>5.4159165481043473E-4</v>
      </c>
      <c r="J34">
        <f t="shared" si="1"/>
        <v>6.9225791886536948E-4</v>
      </c>
      <c r="K34">
        <f t="shared" si="1"/>
        <v>8.574394618342812E-4</v>
      </c>
      <c r="L34">
        <f t="shared" si="1"/>
        <v>1.0291497382726299E-3</v>
      </c>
      <c r="M34">
        <f t="shared" ref="M34:V43" si="2">SQRT($I$4*$J$4-$K$4^2)/PI()*EXP(-($I$4*((M$33-$C$4)^2)+2*$K$4*(M$33-$C$4)*($B34-$C$5)+$J$4*(($B34-$C$5)^2)))</f>
        <v>1.1969974766103853E-3</v>
      </c>
      <c r="N34">
        <f t="shared" si="2"/>
        <v>1.3491103308659782E-3</v>
      </c>
      <c r="O34">
        <f t="shared" si="2"/>
        <v>1.4734698951879485E-3</v>
      </c>
      <c r="P34">
        <f t="shared" si="2"/>
        <v>1.5594614103709057E-3</v>
      </c>
      <c r="Q34">
        <f t="shared" si="2"/>
        <v>1.5993649115852862E-3</v>
      </c>
      <c r="R34">
        <f t="shared" si="2"/>
        <v>1.5894982765144576E-3</v>
      </c>
      <c r="S34">
        <f t="shared" si="2"/>
        <v>1.5307776933031726E-3</v>
      </c>
      <c r="T34">
        <f t="shared" si="2"/>
        <v>1.4285773323758787E-3</v>
      </c>
      <c r="U34">
        <f t="shared" si="2"/>
        <v>1.2919180043582945E-3</v>
      </c>
      <c r="V34">
        <f t="shared" si="2"/>
        <v>1.1321545406193481E-3</v>
      </c>
      <c r="W34">
        <f t="shared" ref="W34:AF43" si="3">SQRT($I$4*$J$4-$K$4^2)/PI()*EXP(-($I$4*((W$33-$C$4)^2)+2*$K$4*(W$33-$C$4)*($B34-$C$5)+$J$4*(($B34-$C$5)^2)))</f>
        <v>9.6142639441417572E-4</v>
      </c>
      <c r="X34">
        <f t="shared" si="3"/>
        <v>7.9116293892531313E-4</v>
      </c>
      <c r="Y34">
        <f t="shared" si="3"/>
        <v>6.3089254482492007E-4</v>
      </c>
      <c r="Z34">
        <f t="shared" si="3"/>
        <v>4.875110028471607E-4</v>
      </c>
      <c r="AA34">
        <f t="shared" si="3"/>
        <v>3.650505562476905E-4</v>
      </c>
      <c r="AB34">
        <f t="shared" si="3"/>
        <v>2.6488732237370651E-4</v>
      </c>
      <c r="AC34">
        <f t="shared" si="3"/>
        <v>1.8625541082970031E-4</v>
      </c>
      <c r="AD34">
        <f t="shared" si="3"/>
        <v>1.2691010080867712E-4</v>
      </c>
      <c r="AE34">
        <f t="shared" si="3"/>
        <v>8.3795953322823413E-5</v>
      </c>
      <c r="AF34">
        <f t="shared" si="3"/>
        <v>5.3615389996590029E-5</v>
      </c>
      <c r="AG34">
        <f t="shared" ref="AG34:AP43" si="4">SQRT($I$4*$J$4-$K$4^2)/PI()*EXP(-($I$4*((AG$33-$C$4)^2)+2*$K$4*(AG$33-$C$4)*($B34-$C$5)+$J$4*(($B34-$C$5)^2)))</f>
        <v>3.3242636345976534E-5</v>
      </c>
      <c r="AH34">
        <f t="shared" si="4"/>
        <v>1.9972894783050288E-5</v>
      </c>
      <c r="AI34">
        <f t="shared" si="4"/>
        <v>1.1628565292796362E-5</v>
      </c>
      <c r="AJ34">
        <f t="shared" si="4"/>
        <v>6.560709730220254E-6</v>
      </c>
      <c r="AK34">
        <f t="shared" si="4"/>
        <v>3.5868653791832689E-6</v>
      </c>
      <c r="AL34">
        <f t="shared" si="4"/>
        <v>1.9002856865180218E-6</v>
      </c>
      <c r="AM34">
        <f t="shared" si="4"/>
        <v>9.7557864041194753E-7</v>
      </c>
      <c r="AN34">
        <f t="shared" si="4"/>
        <v>4.8533904958835885E-7</v>
      </c>
      <c r="AO34">
        <f t="shared" si="4"/>
        <v>2.3397408288264728E-7</v>
      </c>
      <c r="AP34">
        <f t="shared" si="4"/>
        <v>1.0930243523192159E-7</v>
      </c>
      <c r="AQ34">
        <f t="shared" ref="AQ34:BA43" si="5">SQRT($I$4*$J$4-$K$4^2)/PI()*EXP(-($I$4*((AQ$33-$C$4)^2)+2*$K$4*(AQ$33-$C$4)*($B34-$C$5)+$J$4*(($B34-$C$5)^2)))</f>
        <v>4.9480204804393298E-8</v>
      </c>
      <c r="AR34">
        <f t="shared" si="5"/>
        <v>2.1705645471648097E-8</v>
      </c>
      <c r="AS34">
        <f t="shared" si="5"/>
        <v>9.2268505858607462E-9</v>
      </c>
      <c r="AT34">
        <f t="shared" si="5"/>
        <v>3.8007896680740432E-9</v>
      </c>
      <c r="AU34">
        <f t="shared" si="5"/>
        <v>1.5171682718740687E-9</v>
      </c>
      <c r="AV34">
        <f t="shared" si="5"/>
        <v>5.8685827531014335E-10</v>
      </c>
      <c r="AW34">
        <f t="shared" si="5"/>
        <v>2.1997447010500629E-10</v>
      </c>
      <c r="AX34">
        <f t="shared" si="5"/>
        <v>7.9900756929139412E-11</v>
      </c>
      <c r="AY34">
        <f t="shared" si="5"/>
        <v>2.8123480891199472E-11</v>
      </c>
      <c r="AZ34">
        <f t="shared" si="5"/>
        <v>9.5923898008191616E-12</v>
      </c>
      <c r="BA34">
        <f t="shared" si="5"/>
        <v>3.1704735205694497E-12</v>
      </c>
    </row>
    <row r="35" spans="1:63" hidden="1" x14ac:dyDescent="0.25">
      <c r="A35" s="1">
        <v>2</v>
      </c>
      <c r="B35" s="2">
        <f>$B$34+$N$9*(A35-1)</f>
        <v>-2.7986718964329373</v>
      </c>
      <c r="C35">
        <f t="shared" si="1"/>
        <v>1.0258726822384057E-4</v>
      </c>
      <c r="D35">
        <f t="shared" si="1"/>
        <v>1.5926264980002858E-4</v>
      </c>
      <c r="E35">
        <f t="shared" si="1"/>
        <v>2.3959291716356461E-4</v>
      </c>
      <c r="F35">
        <f t="shared" si="1"/>
        <v>3.4927988834338971E-4</v>
      </c>
      <c r="G35">
        <f t="shared" si="1"/>
        <v>4.9341545650062276E-4</v>
      </c>
      <c r="H35">
        <f t="shared" si="1"/>
        <v>6.754473254082543E-4</v>
      </c>
      <c r="I35">
        <f t="shared" si="1"/>
        <v>8.960036708042556E-4</v>
      </c>
      <c r="J35">
        <f t="shared" si="1"/>
        <v>1.1517750263828072E-3</v>
      </c>
      <c r="K35">
        <f t="shared" si="1"/>
        <v>1.4347131947161796E-3</v>
      </c>
      <c r="L35">
        <f t="shared" si="1"/>
        <v>1.7318173783556676E-3</v>
      </c>
      <c r="M35">
        <f t="shared" si="2"/>
        <v>2.0257164760653017E-3</v>
      </c>
      <c r="N35">
        <f t="shared" si="2"/>
        <v>2.2961211216399472E-3</v>
      </c>
      <c r="O35">
        <f t="shared" si="2"/>
        <v>2.5220314205469186E-3</v>
      </c>
      <c r="P35">
        <f t="shared" si="2"/>
        <v>2.6843909025418768E-3</v>
      </c>
      <c r="Q35">
        <f t="shared" si="2"/>
        <v>2.7687298942300881E-3</v>
      </c>
      <c r="R35">
        <f t="shared" si="2"/>
        <v>2.7672919995022152E-3</v>
      </c>
      <c r="S35">
        <f t="shared" si="2"/>
        <v>2.6802107902239285E-3</v>
      </c>
      <c r="T35">
        <f t="shared" si="2"/>
        <v>2.5154893396335709E-3</v>
      </c>
      <c r="U35">
        <f t="shared" si="2"/>
        <v>2.2877869438192732E-3</v>
      </c>
      <c r="V35">
        <f t="shared" si="2"/>
        <v>2.0162679154699069E-3</v>
      </c>
      <c r="W35">
        <f t="shared" si="3"/>
        <v>1.7219497256892161E-3</v>
      </c>
      <c r="X35">
        <f t="shared" si="3"/>
        <v>1.4250570858717769E-3</v>
      </c>
      <c r="Y35">
        <f t="shared" si="3"/>
        <v>1.1428352368268925E-3</v>
      </c>
      <c r="Z35">
        <f t="shared" si="3"/>
        <v>8.8812592796977451E-4</v>
      </c>
      <c r="AA35">
        <f t="shared" si="3"/>
        <v>6.6881351698288996E-4</v>
      </c>
      <c r="AB35">
        <f t="shared" si="3"/>
        <v>4.8806211842188389E-4</v>
      </c>
      <c r="AC35">
        <f t="shared" si="3"/>
        <v>3.4513160063650992E-4</v>
      </c>
      <c r="AD35">
        <f t="shared" si="3"/>
        <v>2.3650150932087477E-4</v>
      </c>
      <c r="AE35">
        <f t="shared" si="3"/>
        <v>1.570444792896172E-4</v>
      </c>
      <c r="AF35">
        <f t="shared" si="3"/>
        <v>1.0105341560009622E-4</v>
      </c>
      <c r="AG35">
        <f t="shared" si="4"/>
        <v>6.3011364846881761E-5</v>
      </c>
      <c r="AH35">
        <f t="shared" si="4"/>
        <v>3.8073810344979066E-5</v>
      </c>
      <c r="AI35">
        <f t="shared" si="4"/>
        <v>2.2293248851949116E-5</v>
      </c>
      <c r="AJ35">
        <f t="shared" si="4"/>
        <v>1.2649109487669387E-5</v>
      </c>
      <c r="AK35">
        <f t="shared" si="4"/>
        <v>6.9548233839826045E-6</v>
      </c>
      <c r="AL35">
        <f t="shared" si="4"/>
        <v>3.7055427305932739E-6</v>
      </c>
      <c r="AM35">
        <f t="shared" si="4"/>
        <v>1.9131856373434351E-6</v>
      </c>
      <c r="AN35">
        <f t="shared" si="4"/>
        <v>9.5719840036347098E-7</v>
      </c>
      <c r="AO35">
        <f t="shared" si="4"/>
        <v>4.6407308643196592E-7</v>
      </c>
      <c r="AP35">
        <f t="shared" si="4"/>
        <v>2.1802704420498832E-7</v>
      </c>
      <c r="AQ35">
        <f t="shared" si="5"/>
        <v>9.9259919291868218E-8</v>
      </c>
      <c r="AR35">
        <f t="shared" si="5"/>
        <v>4.379021066588493E-8</v>
      </c>
      <c r="AS35">
        <f t="shared" si="5"/>
        <v>1.8720597995986814E-8</v>
      </c>
      <c r="AT35">
        <f t="shared" si="5"/>
        <v>7.75536007199803E-9</v>
      </c>
      <c r="AU35">
        <f t="shared" si="5"/>
        <v>3.1133201429069653E-9</v>
      </c>
      <c r="AV35">
        <f t="shared" si="5"/>
        <v>1.2111143857250649E-9</v>
      </c>
      <c r="AW35">
        <f t="shared" si="5"/>
        <v>4.5654764836385951E-10</v>
      </c>
      <c r="AX35">
        <f t="shared" si="5"/>
        <v>1.6677333886762404E-10</v>
      </c>
      <c r="AY35">
        <f t="shared" si="5"/>
        <v>5.9034610636580997E-11</v>
      </c>
      <c r="AZ35">
        <f t="shared" si="5"/>
        <v>2.0250061611617359E-11</v>
      </c>
      <c r="BA35">
        <f t="shared" si="5"/>
        <v>6.731092530874444E-12</v>
      </c>
    </row>
    <row r="36" spans="1:63" hidden="1" x14ac:dyDescent="0.25">
      <c r="A36" s="1">
        <v>3</v>
      </c>
      <c r="B36" s="2">
        <f t="shared" ref="B36:B84" si="6">$B$34+$N$9*(A36-1)</f>
        <v>-2.6074852285075401</v>
      </c>
      <c r="C36">
        <f t="shared" si="1"/>
        <v>1.5808592653140802E-4</v>
      </c>
      <c r="D36">
        <f t="shared" si="1"/>
        <v>2.4681729085489597E-4</v>
      </c>
      <c r="E36">
        <f t="shared" si="1"/>
        <v>3.7341995241640648E-4</v>
      </c>
      <c r="F36">
        <f t="shared" si="1"/>
        <v>5.4746835834165503E-4</v>
      </c>
      <c r="G36">
        <f t="shared" si="1"/>
        <v>7.7778595058958461E-4</v>
      </c>
      <c r="H36">
        <f t="shared" si="1"/>
        <v>1.070781182989834E-3</v>
      </c>
      <c r="I36">
        <f t="shared" si="1"/>
        <v>1.4285022650948405E-3</v>
      </c>
      <c r="J36">
        <f t="shared" si="1"/>
        <v>1.8467185097923841E-3</v>
      </c>
      <c r="K36">
        <f t="shared" si="1"/>
        <v>2.3134495710353973E-3</v>
      </c>
      <c r="L36">
        <f t="shared" si="1"/>
        <v>2.808399830646049E-3</v>
      </c>
      <c r="M36">
        <f t="shared" si="2"/>
        <v>3.3036756728364886E-3</v>
      </c>
      <c r="N36">
        <f t="shared" si="2"/>
        <v>3.7659577088933706E-3</v>
      </c>
      <c r="O36">
        <f t="shared" si="2"/>
        <v>4.1599971976485689E-3</v>
      </c>
      <c r="P36">
        <f t="shared" si="2"/>
        <v>4.4529744534264155E-3</v>
      </c>
      <c r="Q36">
        <f t="shared" si="2"/>
        <v>4.6189890773670481E-3</v>
      </c>
      <c r="R36">
        <f t="shared" si="2"/>
        <v>4.6428348217720751E-3</v>
      </c>
      <c r="S36">
        <f t="shared" si="2"/>
        <v>4.5222971653094603E-3</v>
      </c>
      <c r="T36">
        <f t="shared" si="2"/>
        <v>4.2684925419861552E-3</v>
      </c>
      <c r="U36">
        <f t="shared" si="2"/>
        <v>3.9041772197256348E-3</v>
      </c>
      <c r="V36">
        <f t="shared" si="2"/>
        <v>3.4603823272579327E-3</v>
      </c>
      <c r="W36">
        <f t="shared" si="3"/>
        <v>2.9720643865664255E-3</v>
      </c>
      <c r="X36">
        <f t="shared" si="3"/>
        <v>2.4736138745126831E-3</v>
      </c>
      <c r="Y36">
        <f t="shared" si="3"/>
        <v>1.9950104220948493E-3</v>
      </c>
      <c r="Z36">
        <f t="shared" si="3"/>
        <v>1.5591862476232554E-3</v>
      </c>
      <c r="AA36">
        <f t="shared" si="3"/>
        <v>1.1808381845356756E-3</v>
      </c>
      <c r="AB36">
        <f t="shared" si="3"/>
        <v>8.6660730860833586E-4</v>
      </c>
      <c r="AC36">
        <f t="shared" si="3"/>
        <v>6.1630241916508328E-4</v>
      </c>
      <c r="AD36">
        <f t="shared" si="3"/>
        <v>4.2472220171542425E-4</v>
      </c>
      <c r="AE36">
        <f t="shared" si="3"/>
        <v>2.8363225708842593E-4</v>
      </c>
      <c r="AF36">
        <f t="shared" si="3"/>
        <v>1.8354638884143001E-4</v>
      </c>
      <c r="AG36">
        <f t="shared" si="4"/>
        <v>1.1510008226342011E-4</v>
      </c>
      <c r="AH36">
        <f t="shared" si="4"/>
        <v>6.994311813852734E-5</v>
      </c>
      <c r="AI36">
        <f t="shared" si="4"/>
        <v>4.1186407444522676E-5</v>
      </c>
      <c r="AJ36">
        <f t="shared" si="4"/>
        <v>2.350186890695515E-5</v>
      </c>
      <c r="AK36">
        <f t="shared" si="4"/>
        <v>1.2995423992839099E-5</v>
      </c>
      <c r="AL36">
        <f t="shared" si="4"/>
        <v>6.9633475777313647E-6</v>
      </c>
      <c r="AM36">
        <f t="shared" si="4"/>
        <v>3.6156406459066604E-6</v>
      </c>
      <c r="AN36">
        <f t="shared" si="4"/>
        <v>1.8192484449031076E-6</v>
      </c>
      <c r="AO36">
        <f t="shared" si="4"/>
        <v>8.8703004625793506E-7</v>
      </c>
      <c r="AP36">
        <f t="shared" si="4"/>
        <v>4.191063254163041E-7</v>
      </c>
      <c r="AQ36">
        <f t="shared" si="5"/>
        <v>1.9188881738384444E-7</v>
      </c>
      <c r="AR36">
        <f t="shared" si="5"/>
        <v>8.5136282600933949E-8</v>
      </c>
      <c r="AS36">
        <f t="shared" si="5"/>
        <v>3.6603217812573245E-8</v>
      </c>
      <c r="AT36">
        <f t="shared" si="5"/>
        <v>1.5249774272899515E-8</v>
      </c>
      <c r="AU36">
        <f t="shared" si="5"/>
        <v>6.1566877868679948E-9</v>
      </c>
      <c r="AV36">
        <f t="shared" si="5"/>
        <v>2.408631778235452E-9</v>
      </c>
      <c r="AW36">
        <f t="shared" si="5"/>
        <v>9.131313625725167E-10</v>
      </c>
      <c r="AX36">
        <f t="shared" si="5"/>
        <v>3.3545608409884946E-10</v>
      </c>
      <c r="AY36">
        <f t="shared" si="5"/>
        <v>1.1942016109939229E-10</v>
      </c>
      <c r="AZ36">
        <f t="shared" si="5"/>
        <v>4.1196393572623601E-11</v>
      </c>
      <c r="BA36">
        <f t="shared" si="5"/>
        <v>1.3771470321599292E-11</v>
      </c>
    </row>
    <row r="37" spans="1:63" hidden="1" x14ac:dyDescent="0.25">
      <c r="A37" s="1">
        <v>4</v>
      </c>
      <c r="B37" s="2">
        <f t="shared" si="6"/>
        <v>-2.4162985605821423</v>
      </c>
      <c r="C37">
        <f t="shared" si="1"/>
        <v>2.3476117365591915E-4</v>
      </c>
      <c r="D37">
        <f t="shared" si="1"/>
        <v>3.686129123238272E-4</v>
      </c>
      <c r="E37">
        <f t="shared" si="1"/>
        <v>5.6085989018036522E-4</v>
      </c>
      <c r="F37">
        <f t="shared" si="1"/>
        <v>8.2694721148589615E-4</v>
      </c>
      <c r="G37">
        <f t="shared" si="1"/>
        <v>1.1815191298838459E-3</v>
      </c>
      <c r="H37">
        <f t="shared" si="1"/>
        <v>1.635849307011207E-3</v>
      </c>
      <c r="I37">
        <f t="shared" si="1"/>
        <v>2.1947517155921285E-3</v>
      </c>
      <c r="J37">
        <f t="shared" si="1"/>
        <v>2.8534289695270817E-3</v>
      </c>
      <c r="K37">
        <f t="shared" si="1"/>
        <v>3.5949123099209266E-3</v>
      </c>
      <c r="L37">
        <f t="shared" si="1"/>
        <v>4.3888334708043061E-3</v>
      </c>
      <c r="M37">
        <f t="shared" si="2"/>
        <v>5.192176768339057E-3</v>
      </c>
      <c r="N37">
        <f t="shared" si="2"/>
        <v>5.9523629264757833E-3</v>
      </c>
      <c r="O37">
        <f t="shared" si="2"/>
        <v>6.6125489904123591E-3</v>
      </c>
      <c r="P37">
        <f t="shared" si="2"/>
        <v>7.1184914586530281E-3</v>
      </c>
      <c r="Q37">
        <f t="shared" si="2"/>
        <v>7.4258573129693441E-3</v>
      </c>
      <c r="R37">
        <f t="shared" si="2"/>
        <v>7.5066263326147584E-3</v>
      </c>
      <c r="S37">
        <f t="shared" si="2"/>
        <v>7.3533046947961622E-3</v>
      </c>
      <c r="T37">
        <f t="shared" si="2"/>
        <v>6.9800718339922598E-3</v>
      </c>
      <c r="U37">
        <f t="shared" si="2"/>
        <v>6.4206173551382556E-3</v>
      </c>
      <c r="V37">
        <f t="shared" si="2"/>
        <v>5.7231252530151712E-3</v>
      </c>
      <c r="W37">
        <f t="shared" si="3"/>
        <v>4.9434401350276864E-3</v>
      </c>
      <c r="X37">
        <f t="shared" si="3"/>
        <v>4.1377559689057602E-3</v>
      </c>
      <c r="Y37">
        <f t="shared" si="3"/>
        <v>3.3561397343460021E-3</v>
      </c>
      <c r="Z37">
        <f t="shared" si="3"/>
        <v>2.6378783375073348E-3</v>
      </c>
      <c r="AA37">
        <f t="shared" si="3"/>
        <v>2.0091346996714931E-3</v>
      </c>
      <c r="AB37">
        <f t="shared" si="3"/>
        <v>1.4828694347470428E-3</v>
      </c>
      <c r="AC37">
        <f t="shared" si="3"/>
        <v>1.0605626750785E-3</v>
      </c>
      <c r="AD37">
        <f t="shared" si="3"/>
        <v>7.3503721843109094E-4</v>
      </c>
      <c r="AE37">
        <f t="shared" si="3"/>
        <v>4.9365312146534303E-4</v>
      </c>
      <c r="AF37">
        <f t="shared" si="3"/>
        <v>3.2127283901019064E-4</v>
      </c>
      <c r="AG37">
        <f t="shared" si="4"/>
        <v>2.0261225063005606E-4</v>
      </c>
      <c r="AH37">
        <f t="shared" si="4"/>
        <v>1.2382175537688643E-4</v>
      </c>
      <c r="AI37">
        <f t="shared" si="4"/>
        <v>7.3327651943730322E-5</v>
      </c>
      <c r="AJ37">
        <f t="shared" si="4"/>
        <v>4.2080235972482172E-5</v>
      </c>
      <c r="AK37">
        <f t="shared" si="4"/>
        <v>2.3400660761693949E-5</v>
      </c>
      <c r="AL37">
        <f t="shared" si="4"/>
        <v>1.2610074169335388E-5</v>
      </c>
      <c r="AM37">
        <f t="shared" si="4"/>
        <v>6.5848627518349936E-6</v>
      </c>
      <c r="AN37">
        <f t="shared" si="4"/>
        <v>3.3320796937164435E-6</v>
      </c>
      <c r="AO37">
        <f t="shared" si="4"/>
        <v>1.6338929489156062E-6</v>
      </c>
      <c r="AP37">
        <f t="shared" si="4"/>
        <v>7.7637471591614031E-7</v>
      </c>
      <c r="AQ37">
        <f t="shared" si="5"/>
        <v>3.5748574956622103E-7</v>
      </c>
      <c r="AR37">
        <f t="shared" si="5"/>
        <v>1.5950916854075462E-7</v>
      </c>
      <c r="AS37">
        <f t="shared" si="5"/>
        <v>6.8968714985510243E-8</v>
      </c>
      <c r="AT37">
        <f t="shared" si="5"/>
        <v>2.8897361013500845E-8</v>
      </c>
      <c r="AU37">
        <f t="shared" si="5"/>
        <v>1.1732857579203779E-8</v>
      </c>
      <c r="AV37">
        <f t="shared" si="5"/>
        <v>4.6162463837927903E-9</v>
      </c>
      <c r="AW37">
        <f t="shared" si="5"/>
        <v>1.7600042966674308E-9</v>
      </c>
      <c r="AX37">
        <f t="shared" si="5"/>
        <v>6.502465277311979E-10</v>
      </c>
      <c r="AY37">
        <f t="shared" si="5"/>
        <v>2.3279943481835026E-10</v>
      </c>
      <c r="AZ37">
        <f t="shared" si="5"/>
        <v>8.0765403583489622E-11</v>
      </c>
      <c r="BA37">
        <f t="shared" si="5"/>
        <v>2.7152409800597169E-11</v>
      </c>
    </row>
    <row r="38" spans="1:63" hidden="1" x14ac:dyDescent="0.25">
      <c r="A38" s="1">
        <v>5</v>
      </c>
      <c r="B38" s="2">
        <f t="shared" si="6"/>
        <v>-2.225111892656745</v>
      </c>
      <c r="C38">
        <f t="shared" si="1"/>
        <v>3.3596393128096277E-4</v>
      </c>
      <c r="D38">
        <f t="shared" si="1"/>
        <v>5.305164158164276E-4</v>
      </c>
      <c r="E38">
        <f t="shared" si="1"/>
        <v>8.1179162275260932E-4</v>
      </c>
      <c r="F38">
        <f t="shared" si="1"/>
        <v>1.2037321772346403E-3</v>
      </c>
      <c r="G38">
        <f t="shared" si="1"/>
        <v>1.7296360982176808E-3</v>
      </c>
      <c r="H38">
        <f t="shared" si="1"/>
        <v>2.4083476444933059E-3</v>
      </c>
      <c r="I38">
        <f t="shared" si="1"/>
        <v>3.2495496755645878E-3</v>
      </c>
      <c r="J38">
        <f t="shared" si="1"/>
        <v>4.2488045103027195E-3</v>
      </c>
      <c r="K38">
        <f t="shared" si="1"/>
        <v>5.3833161365819619E-3</v>
      </c>
      <c r="L38">
        <f t="shared" si="1"/>
        <v>6.6095605563692948E-3</v>
      </c>
      <c r="M38">
        <f t="shared" si="2"/>
        <v>7.8638433445134721E-3</v>
      </c>
      <c r="N38">
        <f t="shared" si="2"/>
        <v>9.0664378092580513E-3</v>
      </c>
      <c r="O38">
        <f t="shared" si="2"/>
        <v>1.0129268575984271E-2</v>
      </c>
      <c r="P38">
        <f t="shared" si="2"/>
        <v>1.0966272976897446E-2</v>
      </c>
      <c r="Q38">
        <f t="shared" si="2"/>
        <v>1.1504813535214035E-2</v>
      </c>
      <c r="R38">
        <f t="shared" si="2"/>
        <v>1.1696062550688203E-2</v>
      </c>
      <c r="S38">
        <f t="shared" si="2"/>
        <v>1.1522304452913613E-2</v>
      </c>
      <c r="T38">
        <f t="shared" si="2"/>
        <v>1.0999642658774889E-2</v>
      </c>
      <c r="U38">
        <f t="shared" si="2"/>
        <v>1.0175537824888291E-2</v>
      </c>
      <c r="V38">
        <f t="shared" si="2"/>
        <v>9.1216989645363129E-3</v>
      </c>
      <c r="W38">
        <f t="shared" si="3"/>
        <v>7.923802898871438E-3</v>
      </c>
      <c r="X38">
        <f t="shared" si="3"/>
        <v>6.6700817821371472E-3</v>
      </c>
      <c r="Y38">
        <f t="shared" si="3"/>
        <v>5.440868376078681E-3</v>
      </c>
      <c r="Z38">
        <f t="shared" si="3"/>
        <v>4.3007564236664268E-3</v>
      </c>
      <c r="AA38">
        <f t="shared" si="3"/>
        <v>3.2942840214571995E-3</v>
      </c>
      <c r="AB38">
        <f t="shared" si="3"/>
        <v>2.4452135795437657E-3</v>
      </c>
      <c r="AC38">
        <f t="shared" si="3"/>
        <v>1.7587824538729587E-3</v>
      </c>
      <c r="AD38">
        <f t="shared" si="3"/>
        <v>1.2258773356731421E-3</v>
      </c>
      <c r="AE38">
        <f t="shared" si="3"/>
        <v>8.2798310166663238E-4</v>
      </c>
      <c r="AF38">
        <f t="shared" si="3"/>
        <v>5.4192039647723092E-4</v>
      </c>
      <c r="AG38">
        <f t="shared" si="4"/>
        <v>3.4370756166719459E-4</v>
      </c>
      <c r="AH38">
        <f t="shared" si="4"/>
        <v>2.1124295924844291E-4</v>
      </c>
      <c r="AI38">
        <f t="shared" si="4"/>
        <v>1.2580994278031885E-4</v>
      </c>
      <c r="AJ38">
        <f t="shared" si="4"/>
        <v>7.260846457727626E-5</v>
      </c>
      <c r="AK38">
        <f t="shared" si="4"/>
        <v>4.0606831867349165E-5</v>
      </c>
      <c r="AL38">
        <f t="shared" si="4"/>
        <v>2.200647727614195E-5</v>
      </c>
      <c r="AM38">
        <f t="shared" si="4"/>
        <v>1.155690422613541E-5</v>
      </c>
      <c r="AN38">
        <f t="shared" si="4"/>
        <v>5.8812828545644913E-6</v>
      </c>
      <c r="AO38">
        <f t="shared" si="4"/>
        <v>2.900295078519596E-6</v>
      </c>
      <c r="AP38">
        <f t="shared" si="4"/>
        <v>1.3859637471708434E-6</v>
      </c>
      <c r="AQ38">
        <f t="shared" si="5"/>
        <v>6.418020818909646E-7</v>
      </c>
      <c r="AR38">
        <f t="shared" si="5"/>
        <v>2.8799830958476067E-7</v>
      </c>
      <c r="AS38">
        <f t="shared" si="5"/>
        <v>1.2523286664117687E-7</v>
      </c>
      <c r="AT38">
        <f t="shared" si="5"/>
        <v>5.2769900011071015E-8</v>
      </c>
      <c r="AU38">
        <f t="shared" si="5"/>
        <v>2.154734606388816E-8</v>
      </c>
      <c r="AV38">
        <f t="shared" si="5"/>
        <v>8.5259124434316573E-9</v>
      </c>
      <c r="AW38">
        <f t="shared" si="5"/>
        <v>3.2690948096394903E-9</v>
      </c>
      <c r="AX38">
        <f t="shared" si="5"/>
        <v>1.2146572030563012E-9</v>
      </c>
      <c r="AY38">
        <f t="shared" si="5"/>
        <v>4.3734031144860671E-10</v>
      </c>
      <c r="AZ38">
        <f t="shared" si="5"/>
        <v>1.5258957238925E-10</v>
      </c>
      <c r="BA38">
        <f t="shared" si="5"/>
        <v>5.1590503709619648E-11</v>
      </c>
    </row>
    <row r="39" spans="1:63" hidden="1" x14ac:dyDescent="0.25">
      <c r="A39" s="1">
        <v>6</v>
      </c>
      <c r="B39" s="2">
        <f t="shared" si="6"/>
        <v>-2.0339252247313473</v>
      </c>
      <c r="C39">
        <f t="shared" si="1"/>
        <v>4.6333206464834565E-4</v>
      </c>
      <c r="D39">
        <f t="shared" si="1"/>
        <v>7.3580109334842373E-4</v>
      </c>
      <c r="E39">
        <f t="shared" si="1"/>
        <v>1.1323171037260805E-3</v>
      </c>
      <c r="F39">
        <f t="shared" si="1"/>
        <v>1.6885552370726194E-3</v>
      </c>
      <c r="G39">
        <f t="shared" si="1"/>
        <v>2.4400686375891044E-3</v>
      </c>
      <c r="H39">
        <f t="shared" si="1"/>
        <v>3.4168694033382299E-3</v>
      </c>
      <c r="I39">
        <f t="shared" si="1"/>
        <v>4.6365429049441556E-3</v>
      </c>
      <c r="J39">
        <f t="shared" si="1"/>
        <v>6.0967691648802849E-3</v>
      </c>
      <c r="K39">
        <f t="shared" si="1"/>
        <v>7.7686362576918086E-3</v>
      </c>
      <c r="L39">
        <f t="shared" si="1"/>
        <v>9.5924465699924084E-3</v>
      </c>
      <c r="M39">
        <f t="shared" si="2"/>
        <v>1.1477665306680795E-2</v>
      </c>
      <c r="N39">
        <f t="shared" si="2"/>
        <v>1.3308137827703547E-2</v>
      </c>
      <c r="O39">
        <f t="shared" si="2"/>
        <v>1.4952733390193609E-2</v>
      </c>
      <c r="P39">
        <f t="shared" si="2"/>
        <v>1.6280339446878643E-2</v>
      </c>
      <c r="Q39">
        <f t="shared" si="2"/>
        <v>1.717694352459288E-2</v>
      </c>
      <c r="R39">
        <f t="shared" si="2"/>
        <v>1.7561753858719852E-2</v>
      </c>
      <c r="S39">
        <f t="shared" si="2"/>
        <v>1.739920680638379E-2</v>
      </c>
      <c r="T39">
        <f t="shared" si="2"/>
        <v>1.6704388444124935E-2</v>
      </c>
      <c r="U39">
        <f t="shared" si="2"/>
        <v>1.554072505544914E-2</v>
      </c>
      <c r="V39">
        <f t="shared" si="2"/>
        <v>1.4010432420822658E-2</v>
      </c>
      <c r="W39">
        <f t="shared" si="3"/>
        <v>1.2239716773817808E-2</v>
      </c>
      <c r="X39">
        <f t="shared" si="3"/>
        <v>1.0361694014738068E-2</v>
      </c>
      <c r="Y39">
        <f t="shared" si="3"/>
        <v>8.500211350579507E-3</v>
      </c>
      <c r="Z39">
        <f t="shared" si="3"/>
        <v>6.7572229950520427E-3</v>
      </c>
      <c r="AA39">
        <f t="shared" si="3"/>
        <v>5.2053069518828822E-3</v>
      </c>
      <c r="AB39">
        <f t="shared" si="3"/>
        <v>3.8856529070496033E-3</v>
      </c>
      <c r="AC39">
        <f t="shared" si="3"/>
        <v>2.8107435925857813E-3</v>
      </c>
      <c r="AD39">
        <f t="shared" si="3"/>
        <v>1.9702349596799579E-3</v>
      </c>
      <c r="AE39">
        <f t="shared" si="3"/>
        <v>1.3383027753023152E-3</v>
      </c>
      <c r="AF39">
        <f t="shared" si="3"/>
        <v>8.8090748951280291E-4</v>
      </c>
      <c r="AG39">
        <f t="shared" si="4"/>
        <v>5.6188287034695974E-4</v>
      </c>
      <c r="AH39">
        <f t="shared" si="4"/>
        <v>3.4729685329478284E-4</v>
      </c>
      <c r="AI39">
        <f t="shared" si="4"/>
        <v>2.0801539151224833E-4</v>
      </c>
      <c r="AJ39">
        <f t="shared" si="4"/>
        <v>1.2073401931934253E-4</v>
      </c>
      <c r="AK39">
        <f t="shared" si="4"/>
        <v>6.7905259505839663E-5</v>
      </c>
      <c r="AL39">
        <f t="shared" si="4"/>
        <v>3.7009799624415101E-5</v>
      </c>
      <c r="AM39">
        <f t="shared" si="4"/>
        <v>1.954652775101991E-5</v>
      </c>
      <c r="AN39">
        <f t="shared" si="4"/>
        <v>1.0003732569689196E-5</v>
      </c>
      <c r="AO39">
        <f t="shared" si="4"/>
        <v>4.9612840446812317E-6</v>
      </c>
      <c r="AP39">
        <f t="shared" si="4"/>
        <v>2.3843262333320907E-6</v>
      </c>
      <c r="AQ39">
        <f t="shared" si="5"/>
        <v>1.1103932887256017E-6</v>
      </c>
      <c r="AR39">
        <f t="shared" si="5"/>
        <v>5.0110362616909571E-7</v>
      </c>
      <c r="AS39">
        <f t="shared" si="5"/>
        <v>2.1913806820214695E-7</v>
      </c>
      <c r="AT39">
        <f t="shared" si="5"/>
        <v>9.286406241593757E-8</v>
      </c>
      <c r="AU39">
        <f t="shared" si="5"/>
        <v>3.8134415477103562E-8</v>
      </c>
      <c r="AV39">
        <f t="shared" si="5"/>
        <v>1.5174908309831161E-8</v>
      </c>
      <c r="AW39">
        <f t="shared" si="5"/>
        <v>5.8515998956854424E-9</v>
      </c>
      <c r="AX39">
        <f t="shared" si="5"/>
        <v>2.1865667385978732E-9</v>
      </c>
      <c r="AY39">
        <f t="shared" si="5"/>
        <v>7.9175427602743359E-10</v>
      </c>
      <c r="AZ39">
        <f t="shared" si="5"/>
        <v>2.7781626208675946E-10</v>
      </c>
      <c r="BA39">
        <f t="shared" si="5"/>
        <v>9.446359643023765E-11</v>
      </c>
    </row>
    <row r="40" spans="1:63" hidden="1" x14ac:dyDescent="0.25">
      <c r="A40" s="1">
        <v>7</v>
      </c>
      <c r="B40" s="2">
        <f t="shared" si="6"/>
        <v>-1.8427385568059496</v>
      </c>
      <c r="C40">
        <f t="shared" si="1"/>
        <v>6.1577971400770897E-4</v>
      </c>
      <c r="D40">
        <f t="shared" si="1"/>
        <v>9.8345694179166111E-4</v>
      </c>
      <c r="E40">
        <f t="shared" si="1"/>
        <v>1.5220358743893174E-3</v>
      </c>
      <c r="F40">
        <f t="shared" si="1"/>
        <v>2.2826219737477958E-3</v>
      </c>
      <c r="G40">
        <f t="shared" si="1"/>
        <v>3.317284081179706E-3</v>
      </c>
      <c r="H40">
        <f t="shared" si="1"/>
        <v>4.6716564942491639E-3</v>
      </c>
      <c r="I40">
        <f t="shared" si="1"/>
        <v>6.3752717987064292E-3</v>
      </c>
      <c r="J40">
        <f t="shared" si="1"/>
        <v>8.4307473403796643E-3</v>
      </c>
      <c r="K40">
        <f t="shared" si="1"/>
        <v>1.0803712277626025E-2</v>
      </c>
      <c r="L40">
        <f t="shared" si="1"/>
        <v>1.3415890693022759E-2</v>
      </c>
      <c r="M40">
        <f t="shared" si="2"/>
        <v>1.6143792945667326E-2</v>
      </c>
      <c r="N40">
        <f t="shared" si="2"/>
        <v>1.8824836487568102E-2</v>
      </c>
      <c r="O40">
        <f t="shared" si="2"/>
        <v>2.127141656038627E-2</v>
      </c>
      <c r="P40">
        <f t="shared" si="2"/>
        <v>2.3291699508026936E-2</v>
      </c>
      <c r="Q40">
        <f t="shared" si="2"/>
        <v>2.471414046351662E-2</v>
      </c>
      <c r="R40">
        <f t="shared" si="2"/>
        <v>2.5411447773272911E-2</v>
      </c>
      <c r="S40">
        <f t="shared" si="2"/>
        <v>2.5319368717746048E-2</v>
      </c>
      <c r="T40">
        <f t="shared" si="2"/>
        <v>2.444645574164379E-2</v>
      </c>
      <c r="U40">
        <f t="shared" si="2"/>
        <v>2.2872756176805734E-2</v>
      </c>
      <c r="V40">
        <f t="shared" si="2"/>
        <v>2.0737703612829228E-2</v>
      </c>
      <c r="W40">
        <f t="shared" si="3"/>
        <v>1.821974909650444E-2</v>
      </c>
      <c r="X40">
        <f t="shared" si="3"/>
        <v>1.5511853234212933E-2</v>
      </c>
      <c r="Y40">
        <f t="shared" si="3"/>
        <v>1.2797482610644678E-2</v>
      </c>
      <c r="Z40">
        <f t="shared" si="3"/>
        <v>1.0231162329463554E-2</v>
      </c>
      <c r="AA40">
        <f t="shared" si="3"/>
        <v>7.926198942562834E-3</v>
      </c>
      <c r="AB40">
        <f t="shared" si="3"/>
        <v>5.9503776270661982E-3</v>
      </c>
      <c r="AC40">
        <f t="shared" si="3"/>
        <v>4.3287614536921216E-3</v>
      </c>
      <c r="AD40">
        <f t="shared" si="3"/>
        <v>3.0515630345156765E-3</v>
      </c>
      <c r="AE40">
        <f t="shared" si="3"/>
        <v>2.0845897749351781E-3</v>
      </c>
      <c r="AF40">
        <f t="shared" si="3"/>
        <v>1.3799343553119999E-3</v>
      </c>
      <c r="AG40">
        <f t="shared" si="4"/>
        <v>8.851886101804941E-4</v>
      </c>
      <c r="AH40">
        <f t="shared" si="4"/>
        <v>5.5024077902618342E-4</v>
      </c>
      <c r="AI40">
        <f t="shared" si="4"/>
        <v>3.3144333914798552E-4</v>
      </c>
      <c r="AJ40">
        <f t="shared" si="4"/>
        <v>1.9346632588271699E-4</v>
      </c>
      <c r="AK40">
        <f t="shared" si="4"/>
        <v>1.0943116899499301E-4</v>
      </c>
      <c r="AL40">
        <f t="shared" si="4"/>
        <v>5.998135318169806E-5</v>
      </c>
      <c r="AM40">
        <f t="shared" si="4"/>
        <v>3.1858919753246132E-5</v>
      </c>
      <c r="AN40">
        <f t="shared" si="4"/>
        <v>1.639779296849373E-5</v>
      </c>
      <c r="AO40">
        <f t="shared" si="4"/>
        <v>8.1786065859659051E-6</v>
      </c>
      <c r="AP40">
        <f t="shared" si="4"/>
        <v>3.9528724694511415E-6</v>
      </c>
      <c r="AQ40">
        <f t="shared" si="5"/>
        <v>1.8513385919413122E-6</v>
      </c>
      <c r="AR40">
        <f t="shared" si="5"/>
        <v>8.4023055699989752E-7</v>
      </c>
      <c r="AS40">
        <f t="shared" si="5"/>
        <v>3.6953081098809027E-7</v>
      </c>
      <c r="AT40">
        <f t="shared" si="5"/>
        <v>1.574861640112613E-7</v>
      </c>
      <c r="AU40">
        <f t="shared" si="5"/>
        <v>6.5038979824784377E-8</v>
      </c>
      <c r="AV40">
        <f t="shared" si="5"/>
        <v>2.6028227996451914E-8</v>
      </c>
      <c r="AW40">
        <f t="shared" si="5"/>
        <v>1.0093808250237818E-8</v>
      </c>
      <c r="AX40">
        <f t="shared" si="5"/>
        <v>3.7931940824447387E-9</v>
      </c>
      <c r="AY40">
        <f t="shared" si="5"/>
        <v>1.3813210960624913E-9</v>
      </c>
      <c r="AZ40">
        <f t="shared" si="5"/>
        <v>4.8744294711267193E-10</v>
      </c>
      <c r="BA40">
        <f t="shared" si="5"/>
        <v>1.6668345862517525E-10</v>
      </c>
    </row>
    <row r="41" spans="1:63" hidden="1" x14ac:dyDescent="0.25">
      <c r="A41" s="1">
        <v>8</v>
      </c>
      <c r="B41" s="2">
        <f t="shared" si="6"/>
        <v>-1.651551888880552</v>
      </c>
      <c r="C41">
        <f t="shared" si="1"/>
        <v>7.8866345714745064E-4</v>
      </c>
      <c r="D41">
        <f t="shared" si="1"/>
        <v>1.266728643167748E-3</v>
      </c>
      <c r="E41">
        <f t="shared" si="1"/>
        <v>1.9715828407921724E-3</v>
      </c>
      <c r="F41">
        <f t="shared" si="1"/>
        <v>2.9736238725796183E-3</v>
      </c>
      <c r="G41">
        <f t="shared" si="1"/>
        <v>4.3460688864412258E-3</v>
      </c>
      <c r="H41">
        <f t="shared" si="1"/>
        <v>6.1552648264069513E-3</v>
      </c>
      <c r="I41">
        <f t="shared" si="1"/>
        <v>8.4476603908130495E-3</v>
      </c>
      <c r="J41">
        <f t="shared" si="1"/>
        <v>1.123480957309069E-2</v>
      </c>
      <c r="K41">
        <f t="shared" si="1"/>
        <v>1.4478866079932555E-2</v>
      </c>
      <c r="L41">
        <f t="shared" si="1"/>
        <v>1.8081853775045603E-2</v>
      </c>
      <c r="M41">
        <f t="shared" si="2"/>
        <v>2.1882196852700396E-2</v>
      </c>
      <c r="N41">
        <f t="shared" si="2"/>
        <v>2.5661288218576897E-2</v>
      </c>
      <c r="O41">
        <f t="shared" si="2"/>
        <v>2.9161210950401521E-2</v>
      </c>
      <c r="P41">
        <f t="shared" si="2"/>
        <v>3.2112359764542832E-2</v>
      </c>
      <c r="Q41">
        <f t="shared" si="2"/>
        <v>3.4267186872974122E-2</v>
      </c>
      <c r="R41">
        <f t="shared" si="2"/>
        <v>3.5434332113627155E-2</v>
      </c>
      <c r="S41">
        <f t="shared" si="2"/>
        <v>3.5506643185974969E-2</v>
      </c>
      <c r="T41">
        <f t="shared" si="2"/>
        <v>3.4477403093911473E-2</v>
      </c>
      <c r="U41">
        <f t="shared" si="2"/>
        <v>3.2441359318866658E-2</v>
      </c>
      <c r="V41">
        <f t="shared" si="2"/>
        <v>2.9580336222706848E-2</v>
      </c>
      <c r="W41">
        <f t="shared" si="3"/>
        <v>2.6136458191808348E-2</v>
      </c>
      <c r="X41">
        <f t="shared" si="3"/>
        <v>2.2378446262859286E-2</v>
      </c>
      <c r="Y41">
        <f t="shared" si="3"/>
        <v>1.8567468310114871E-2</v>
      </c>
      <c r="Z41">
        <f t="shared" si="3"/>
        <v>1.492846034029793E-2</v>
      </c>
      <c r="AA41">
        <f t="shared" si="3"/>
        <v>1.1630996154907876E-2</v>
      </c>
      <c r="AB41">
        <f t="shared" si="3"/>
        <v>8.7812910487570471E-3</v>
      </c>
      <c r="AC41">
        <f t="shared" si="3"/>
        <v>6.4245009463549671E-3</v>
      </c>
      <c r="AD41">
        <f t="shared" si="3"/>
        <v>4.5547022259133946E-3</v>
      </c>
      <c r="AE41">
        <f t="shared" si="3"/>
        <v>3.1291050766175778E-3</v>
      </c>
      <c r="AF41">
        <f t="shared" si="3"/>
        <v>2.0831467776362637E-3</v>
      </c>
      <c r="AG41">
        <f t="shared" si="4"/>
        <v>1.3438758866564002E-3</v>
      </c>
      <c r="AH41">
        <f t="shared" si="4"/>
        <v>8.4011360473683523E-4</v>
      </c>
      <c r="AI41">
        <f t="shared" si="4"/>
        <v>5.0892811101864259E-4</v>
      </c>
      <c r="AJ41">
        <f t="shared" si="4"/>
        <v>2.9875448146954038E-4</v>
      </c>
      <c r="AK41">
        <f t="shared" si="4"/>
        <v>1.6994640548011596E-4</v>
      </c>
      <c r="AL41">
        <f t="shared" si="4"/>
        <v>9.3680479301055643E-5</v>
      </c>
      <c r="AM41">
        <f t="shared" si="4"/>
        <v>5.0040978231692619E-5</v>
      </c>
      <c r="AN41">
        <f t="shared" si="4"/>
        <v>2.5902521566498975E-5</v>
      </c>
      <c r="AO41">
        <f t="shared" si="4"/>
        <v>1.2992653699236313E-5</v>
      </c>
      <c r="AP41">
        <f t="shared" si="4"/>
        <v>6.3152892739232031E-6</v>
      </c>
      <c r="AQ41">
        <f t="shared" si="5"/>
        <v>2.9745974391697903E-6</v>
      </c>
      <c r="AR41">
        <f t="shared" si="5"/>
        <v>1.3576965586817084E-6</v>
      </c>
      <c r="AS41">
        <f t="shared" si="5"/>
        <v>6.0050523918994635E-7</v>
      </c>
      <c r="AT41">
        <f t="shared" si="5"/>
        <v>2.5737742440386872E-7</v>
      </c>
      <c r="AU41">
        <f t="shared" si="5"/>
        <v>1.0689654445255408E-7</v>
      </c>
      <c r="AV41">
        <f t="shared" si="5"/>
        <v>4.3022579755773772E-8</v>
      </c>
      <c r="AW41">
        <f t="shared" si="5"/>
        <v>1.677910518040489E-8</v>
      </c>
      <c r="AX41">
        <f t="shared" si="5"/>
        <v>6.3413352037486515E-9</v>
      </c>
      <c r="AY41">
        <f t="shared" si="5"/>
        <v>2.322374161738153E-9</v>
      </c>
      <c r="AZ41">
        <f t="shared" si="5"/>
        <v>8.2418221264692922E-10</v>
      </c>
      <c r="BA41">
        <f t="shared" si="5"/>
        <v>2.8343524269305207E-10</v>
      </c>
    </row>
    <row r="42" spans="1:63" hidden="1" x14ac:dyDescent="0.25">
      <c r="A42" s="1">
        <v>9</v>
      </c>
      <c r="B42" s="2">
        <f t="shared" si="6"/>
        <v>-1.4603652209551545</v>
      </c>
      <c r="C42">
        <f t="shared" si="1"/>
        <v>9.7340008125733032E-4</v>
      </c>
      <c r="D42">
        <f t="shared" si="1"/>
        <v>1.5723352502211559E-3</v>
      </c>
      <c r="E42">
        <f t="shared" si="1"/>
        <v>2.4611523032476027E-3</v>
      </c>
      <c r="F42">
        <f t="shared" si="1"/>
        <v>3.733115225801924E-3</v>
      </c>
      <c r="G42">
        <f t="shared" si="1"/>
        <v>5.4871125220332289E-3</v>
      </c>
      <c r="H42">
        <f t="shared" si="1"/>
        <v>7.8154844529690556E-3</v>
      </c>
      <c r="I42">
        <f t="shared" si="1"/>
        <v>1.0787169599845551E-2</v>
      </c>
      <c r="J42">
        <f t="shared" si="1"/>
        <v>1.4427752262045908E-2</v>
      </c>
      <c r="K42">
        <f t="shared" si="1"/>
        <v>1.8699474936640759E-2</v>
      </c>
      <c r="L42">
        <f t="shared" si="1"/>
        <v>2.3485494770073584E-2</v>
      </c>
      <c r="M42">
        <f t="shared" si="2"/>
        <v>2.8583116658007029E-2</v>
      </c>
      <c r="N42">
        <f t="shared" si="2"/>
        <v>3.3710020439378215E-2</v>
      </c>
      <c r="O42">
        <f t="shared" si="2"/>
        <v>3.8525476235769469E-2</v>
      </c>
      <c r="P42">
        <f t="shared" si="2"/>
        <v>4.2665474725204371E-2</v>
      </c>
      <c r="Q42">
        <f t="shared" si="2"/>
        <v>4.5787266259150146E-2</v>
      </c>
      <c r="R42">
        <f t="shared" si="2"/>
        <v>4.7615945575534127E-2</v>
      </c>
      <c r="S42">
        <f t="shared" si="2"/>
        <v>4.7984356802472379E-2</v>
      </c>
      <c r="T42">
        <f t="shared" si="2"/>
        <v>4.6858297839788732E-2</v>
      </c>
      <c r="U42">
        <f t="shared" si="2"/>
        <v>4.4341757789599E-2</v>
      </c>
      <c r="V42">
        <f t="shared" si="2"/>
        <v>4.0661076121748865E-2</v>
      </c>
      <c r="W42">
        <f t="shared" si="3"/>
        <v>3.6131367365396273E-2</v>
      </c>
      <c r="X42">
        <f t="shared" si="3"/>
        <v>3.1112111935938509E-2</v>
      </c>
      <c r="Y42">
        <f t="shared" si="3"/>
        <v>2.5960565829463864E-2</v>
      </c>
      <c r="Z42">
        <f t="shared" si="3"/>
        <v>2.0991253889179759E-2</v>
      </c>
      <c r="AA42">
        <f t="shared" si="3"/>
        <v>1.6447586346459268E-2</v>
      </c>
      <c r="AB42">
        <f t="shared" si="3"/>
        <v>1.2488363598914384E-2</v>
      </c>
      <c r="AC42">
        <f t="shared" si="3"/>
        <v>9.1885812629942075E-3</v>
      </c>
      <c r="AD42">
        <f t="shared" si="3"/>
        <v>6.5513522723743816E-3</v>
      </c>
      <c r="AE42">
        <f t="shared" si="3"/>
        <v>4.5264008382293218E-3</v>
      </c>
      <c r="AF42">
        <f t="shared" si="3"/>
        <v>3.0305024169505054E-3</v>
      </c>
      <c r="AG42">
        <f t="shared" si="4"/>
        <v>1.966146275856282E-3</v>
      </c>
      <c r="AH42">
        <f t="shared" si="4"/>
        <v>1.2361084675436369E-3</v>
      </c>
      <c r="AI42">
        <f t="shared" si="4"/>
        <v>7.5307269980659053E-4</v>
      </c>
      <c r="AJ42">
        <f t="shared" si="4"/>
        <v>4.4458703388724244E-4</v>
      </c>
      <c r="AK42">
        <f t="shared" si="4"/>
        <v>2.5434092556522069E-4</v>
      </c>
      <c r="AL42">
        <f t="shared" si="4"/>
        <v>1.4099875187227419E-4</v>
      </c>
      <c r="AM42">
        <f t="shared" si="4"/>
        <v>7.5744980006278858E-5</v>
      </c>
      <c r="AN42">
        <f t="shared" si="4"/>
        <v>3.9430474961768253E-5</v>
      </c>
      <c r="AO42">
        <f t="shared" si="4"/>
        <v>1.9890684448406939E-5</v>
      </c>
      <c r="AP42">
        <f t="shared" si="4"/>
        <v>9.7231506119921755E-6</v>
      </c>
      <c r="AQ42">
        <f t="shared" si="5"/>
        <v>4.6057871579783535E-6</v>
      </c>
      <c r="AR42">
        <f t="shared" si="5"/>
        <v>2.1141718315221196E-6</v>
      </c>
      <c r="AS42">
        <f t="shared" si="5"/>
        <v>9.4040789364653799E-7</v>
      </c>
      <c r="AT42">
        <f t="shared" si="5"/>
        <v>4.0535152917871236E-7</v>
      </c>
      <c r="AU42">
        <f t="shared" si="5"/>
        <v>1.6931168493417167E-7</v>
      </c>
      <c r="AV42">
        <f t="shared" si="5"/>
        <v>6.853013917018809E-8</v>
      </c>
      <c r="AW42">
        <f t="shared" si="5"/>
        <v>2.6879170491784732E-8</v>
      </c>
      <c r="AX42">
        <f t="shared" si="5"/>
        <v>1.0216206819509482E-8</v>
      </c>
      <c r="AY42">
        <f t="shared" si="5"/>
        <v>3.7627300063705607E-9</v>
      </c>
      <c r="AZ42">
        <f t="shared" si="5"/>
        <v>1.3429381250991686E-9</v>
      </c>
      <c r="BA42">
        <f t="shared" si="5"/>
        <v>4.6446021193644416E-10</v>
      </c>
    </row>
    <row r="43" spans="1:63" hidden="1" x14ac:dyDescent="0.25">
      <c r="A43" s="1">
        <v>10</v>
      </c>
      <c r="B43" s="2">
        <f t="shared" si="6"/>
        <v>-1.269178553029757</v>
      </c>
      <c r="C43">
        <f t="shared" si="1"/>
        <v>1.157775506421559E-3</v>
      </c>
      <c r="D43">
        <f t="shared" si="1"/>
        <v>1.8807888023374543E-3</v>
      </c>
      <c r="E43">
        <f t="shared" si="1"/>
        <v>2.9607059026587187E-3</v>
      </c>
      <c r="F43">
        <f t="shared" si="1"/>
        <v>4.516375831754427E-3</v>
      </c>
      <c r="G43">
        <f t="shared" si="1"/>
        <v>6.6761247918510408E-3</v>
      </c>
      <c r="H43">
        <f t="shared" si="1"/>
        <v>9.5630930923421061E-3</v>
      </c>
      <c r="I43">
        <f t="shared" si="1"/>
        <v>1.3274307901198511E-2</v>
      </c>
      <c r="J43">
        <f t="shared" si="1"/>
        <v>1.78552097637475E-2</v>
      </c>
      <c r="K43">
        <f t="shared" si="1"/>
        <v>2.327327988903273E-2</v>
      </c>
      <c r="L43">
        <f t="shared" si="1"/>
        <v>2.9396105297297519E-2</v>
      </c>
      <c r="M43">
        <f t="shared" si="2"/>
        <v>3.5980033418458013E-2</v>
      </c>
      <c r="N43">
        <f t="shared" si="2"/>
        <v>4.2674937774396779E-2</v>
      </c>
      <c r="O43">
        <f t="shared" si="2"/>
        <v>4.9048281629396895E-2</v>
      </c>
      <c r="P43">
        <f t="shared" si="2"/>
        <v>5.462786949009231E-2</v>
      </c>
      <c r="Q43">
        <f t="shared" si="2"/>
        <v>5.8958210817456023E-2</v>
      </c>
      <c r="R43">
        <f t="shared" si="2"/>
        <v>6.1661472878710613E-2</v>
      </c>
      <c r="S43">
        <f t="shared" si="2"/>
        <v>6.2491803579417401E-2</v>
      </c>
      <c r="T43">
        <f t="shared" si="2"/>
        <v>6.1372213884952488E-2</v>
      </c>
      <c r="U43">
        <f t="shared" si="2"/>
        <v>5.8406352724010437E-2</v>
      </c>
      <c r="V43">
        <f t="shared" si="2"/>
        <v>5.3862678952222555E-2</v>
      </c>
      <c r="W43">
        <f t="shared" si="3"/>
        <v>4.8134379667400244E-2</v>
      </c>
      <c r="X43">
        <f t="shared" si="3"/>
        <v>4.1683326922216199E-2</v>
      </c>
      <c r="Y43">
        <f t="shared" si="3"/>
        <v>3.4979124562866663E-2</v>
      </c>
      <c r="Z43">
        <f t="shared" si="3"/>
        <v>2.8444287760443904E-2</v>
      </c>
      <c r="AA43">
        <f t="shared" si="3"/>
        <v>2.2414071722202979E-2</v>
      </c>
      <c r="AB43">
        <f t="shared" si="3"/>
        <v>1.7115359160542572E-2</v>
      </c>
      <c r="AC43">
        <f t="shared" si="3"/>
        <v>1.2664581497175304E-2</v>
      </c>
      <c r="AD43">
        <f t="shared" si="3"/>
        <v>9.0810326072693071E-3</v>
      </c>
      <c r="AE43">
        <f t="shared" si="3"/>
        <v>6.3098522972254616E-3</v>
      </c>
      <c r="AF43">
        <f t="shared" si="3"/>
        <v>4.2485694074859458E-3</v>
      </c>
      <c r="AG43">
        <f t="shared" si="4"/>
        <v>2.7720803094412856E-3</v>
      </c>
      <c r="AH43">
        <f t="shared" si="4"/>
        <v>1.7527035428319393E-3</v>
      </c>
      <c r="AI43">
        <f t="shared" si="4"/>
        <v>1.0738674710269133E-3</v>
      </c>
      <c r="AJ43">
        <f t="shared" si="4"/>
        <v>6.3757675638059081E-4</v>
      </c>
      <c r="AK43">
        <f t="shared" si="4"/>
        <v>3.6682069624718904E-4</v>
      </c>
      <c r="AL43">
        <f t="shared" si="4"/>
        <v>2.0451009566088531E-4</v>
      </c>
      <c r="AM43">
        <f t="shared" si="4"/>
        <v>1.1048803224288987E-4</v>
      </c>
      <c r="AN43">
        <f t="shared" si="4"/>
        <v>5.7843597073260958E-5</v>
      </c>
      <c r="AO43">
        <f t="shared" si="4"/>
        <v>2.9345053904900256E-5</v>
      </c>
      <c r="AP43">
        <f t="shared" si="4"/>
        <v>1.4426271361549834E-5</v>
      </c>
      <c r="AQ43">
        <f t="shared" si="5"/>
        <v>6.8724699367739002E-6</v>
      </c>
      <c r="AR43">
        <f t="shared" si="5"/>
        <v>3.1725696584962641E-6</v>
      </c>
      <c r="AS43">
        <f t="shared" si="5"/>
        <v>1.4192178026445757E-6</v>
      </c>
      <c r="AT43">
        <f t="shared" si="5"/>
        <v>6.1521441141710351E-7</v>
      </c>
      <c r="AU43">
        <f t="shared" si="5"/>
        <v>2.5843035035895898E-7</v>
      </c>
      <c r="AV43">
        <f t="shared" si="5"/>
        <v>1.0519621125900946E-7</v>
      </c>
      <c r="AW43">
        <f t="shared" si="5"/>
        <v>4.1495045668827379E-8</v>
      </c>
      <c r="AX43">
        <f t="shared" si="5"/>
        <v>1.5861050992037406E-8</v>
      </c>
      <c r="AY43">
        <f t="shared" si="5"/>
        <v>5.8749914907346452E-9</v>
      </c>
      <c r="AZ43">
        <f t="shared" si="5"/>
        <v>2.1087353993688869E-9</v>
      </c>
      <c r="BA43">
        <f t="shared" si="5"/>
        <v>7.3346011363493823E-10</v>
      </c>
    </row>
    <row r="44" spans="1:63" hidden="1" x14ac:dyDescent="0.25">
      <c r="A44" s="1">
        <v>11</v>
      </c>
      <c r="B44" s="2">
        <f t="shared" si="6"/>
        <v>-1.0779918851043595</v>
      </c>
      <c r="C44">
        <f t="shared" ref="C44:L53" si="7">SQRT($I$4*$J$4-$K$4^2)/PI()*EXP(-($I$4*((C$33-$C$4)^2)+2*$K$4*(C$33-$C$4)*($B44-$C$5)+$J$4*(($B44-$C$5)^2)))</f>
        <v>1.3270602973077096E-3</v>
      </c>
      <c r="D44">
        <f t="shared" si="7"/>
        <v>2.1680446861216938E-3</v>
      </c>
      <c r="E44">
        <f t="shared" si="7"/>
        <v>3.4323010130321878E-3</v>
      </c>
      <c r="F44">
        <f t="shared" si="7"/>
        <v>5.2655297858537377E-3</v>
      </c>
      <c r="G44">
        <f t="shared" si="7"/>
        <v>7.8277752045519278E-3</v>
      </c>
      <c r="H44">
        <f t="shared" si="7"/>
        <v>1.1276496327112195E-2</v>
      </c>
      <c r="I44">
        <f t="shared" si="7"/>
        <v>1.5741625874233441E-2</v>
      </c>
      <c r="J44">
        <f t="shared" si="7"/>
        <v>2.129435825043384E-2</v>
      </c>
      <c r="K44">
        <f t="shared" si="7"/>
        <v>2.7913808333805488E-2</v>
      </c>
      <c r="L44">
        <f t="shared" si="7"/>
        <v>3.5457914966574605E-2</v>
      </c>
      <c r="M44">
        <f t="shared" ref="M44:V53" si="8">SQRT($I$4*$J$4-$K$4^2)/PI()*EXP(-($I$4*((M$33-$C$4)^2)+2*$K$4*(M$33-$C$4)*($B44-$C$5)+$J$4*(($B44-$C$5)^2)))</f>
        <v>4.3646242603935514E-2</v>
      </c>
      <c r="N44">
        <f t="shared" si="8"/>
        <v>5.2061909942714438E-2</v>
      </c>
      <c r="O44">
        <f t="shared" si="8"/>
        <v>6.0177327546948149E-2</v>
      </c>
      <c r="P44">
        <f t="shared" si="8"/>
        <v>6.7403936918277674E-2</v>
      </c>
      <c r="Q44">
        <f t="shared" si="8"/>
        <v>7.316058948405102E-2</v>
      </c>
      <c r="R44">
        <f t="shared" si="8"/>
        <v>7.6950012523100325E-2</v>
      </c>
      <c r="S44">
        <f t="shared" si="8"/>
        <v>7.8429556594181479E-2</v>
      </c>
      <c r="T44">
        <f t="shared" si="8"/>
        <v>7.7462300506241297E-2</v>
      </c>
      <c r="U44">
        <f t="shared" si="8"/>
        <v>7.4137952505855906E-2</v>
      </c>
      <c r="V44">
        <f t="shared" si="8"/>
        <v>6.8759126522566286E-2</v>
      </c>
      <c r="W44">
        <f t="shared" ref="W44:AF53" si="9">SQRT($I$4*$J$4-$K$4^2)/PI()*EXP(-($I$4*((W$33-$C$4)^2)+2*$K$4*(W$33-$C$4)*($B44-$C$5)+$J$4*(($B44-$C$5)^2)))</f>
        <v>6.179590265252688E-2</v>
      </c>
      <c r="X44">
        <f t="shared" si="9"/>
        <v>5.3818126580925371E-2</v>
      </c>
      <c r="Y44">
        <f t="shared" si="9"/>
        <v>4.5418944505749431E-2</v>
      </c>
      <c r="Z44">
        <f t="shared" si="9"/>
        <v>3.714369162783359E-2</v>
      </c>
      <c r="AA44">
        <f t="shared" si="9"/>
        <v>2.9435584156685107E-2</v>
      </c>
      <c r="AB44">
        <f t="shared" si="9"/>
        <v>2.260475575633979E-2</v>
      </c>
      <c r="AC44">
        <f t="shared" si="9"/>
        <v>1.6821570687588536E-2</v>
      </c>
      <c r="AD44">
        <f t="shared" si="9"/>
        <v>1.213033618080603E-2</v>
      </c>
      <c r="AE44">
        <f t="shared" si="9"/>
        <v>8.47654155438754E-3</v>
      </c>
      <c r="AF44">
        <f t="shared" si="9"/>
        <v>5.7398972718747466E-3</v>
      </c>
      <c r="AG44">
        <f t="shared" ref="AG44:AP53" si="10">SQRT($I$4*$J$4-$K$4^2)/PI()*EXP(-($I$4*((AG$33-$C$4)^2)+2*$K$4*(AG$33-$C$4)*($B44-$C$5)+$J$4*(($B44-$C$5)^2)))</f>
        <v>3.7664231484454891E-3</v>
      </c>
      <c r="AH44">
        <f t="shared" si="10"/>
        <v>2.3949346476760851E-3</v>
      </c>
      <c r="AI44">
        <f t="shared" si="10"/>
        <v>1.4756990230960516E-3</v>
      </c>
      <c r="AJ44">
        <f t="shared" si="10"/>
        <v>8.8113302439811773E-4</v>
      </c>
      <c r="AK44">
        <f t="shared" si="10"/>
        <v>5.0982923289963995E-4</v>
      </c>
      <c r="AL44">
        <f t="shared" si="10"/>
        <v>2.8585615962531722E-4</v>
      </c>
      <c r="AM44">
        <f t="shared" si="10"/>
        <v>1.5531376299983077E-4</v>
      </c>
      <c r="AN44">
        <f t="shared" si="10"/>
        <v>8.1773369890922123E-5</v>
      </c>
      <c r="AO44">
        <f t="shared" si="10"/>
        <v>4.1720875649447896E-5</v>
      </c>
      <c r="AP44">
        <f t="shared" si="10"/>
        <v>2.0626925526020022E-5</v>
      </c>
      <c r="AQ44">
        <f t="shared" ref="AQ44:BA53" si="11">SQRT($I$4*$J$4-$K$4^2)/PI()*EXP(-($I$4*((AQ$33-$C$4)^2)+2*$K$4*(AQ$33-$C$4)*($B44-$C$5)+$J$4*(($B44-$C$5)^2)))</f>
        <v>9.8822344327433726E-6</v>
      </c>
      <c r="AR44">
        <f t="shared" si="11"/>
        <v>4.5879150737688049E-6</v>
      </c>
      <c r="AS44">
        <f t="shared" si="11"/>
        <v>2.0640259545091566E-6</v>
      </c>
      <c r="AT44">
        <f t="shared" si="11"/>
        <v>8.9981764288758602E-7</v>
      </c>
      <c r="AU44">
        <f t="shared" si="11"/>
        <v>3.8013111579101297E-7</v>
      </c>
      <c r="AV44">
        <f t="shared" si="11"/>
        <v>1.556151596924105E-7</v>
      </c>
      <c r="AW44">
        <f t="shared" si="11"/>
        <v>6.173194366569949E-8</v>
      </c>
      <c r="AX44">
        <f t="shared" si="11"/>
        <v>2.373053698653313E-8</v>
      </c>
      <c r="AY44">
        <f t="shared" si="11"/>
        <v>8.8398469621093866E-9</v>
      </c>
      <c r="AZ44">
        <f t="shared" si="11"/>
        <v>3.1909609778896341E-9</v>
      </c>
      <c r="BA44">
        <f t="shared" si="11"/>
        <v>1.1161891746162349E-9</v>
      </c>
    </row>
    <row r="45" spans="1:63" hidden="1" x14ac:dyDescent="0.25">
      <c r="A45" s="1">
        <v>12</v>
      </c>
      <c r="B45" s="2">
        <f t="shared" si="6"/>
        <v>-0.88680521717896177</v>
      </c>
      <c r="C45">
        <f t="shared" si="7"/>
        <v>1.4658525077945322E-3</v>
      </c>
      <c r="D45">
        <f t="shared" si="7"/>
        <v>2.4084062609500525E-3</v>
      </c>
      <c r="E45">
        <f t="shared" si="7"/>
        <v>3.834500395054129E-3</v>
      </c>
      <c r="F45">
        <f t="shared" si="7"/>
        <v>5.9159894695130872E-3</v>
      </c>
      <c r="G45">
        <f t="shared" si="7"/>
        <v>8.8447500386477067E-3</v>
      </c>
      <c r="H45">
        <f t="shared" si="7"/>
        <v>1.2813958156869185E-2</v>
      </c>
      <c r="I45">
        <f t="shared" si="7"/>
        <v>1.798956265351848E-2</v>
      </c>
      <c r="J45">
        <f t="shared" si="7"/>
        <v>2.4473578451211616E-2</v>
      </c>
      <c r="K45">
        <f t="shared" si="7"/>
        <v>3.2263680717168099E-2</v>
      </c>
      <c r="L45">
        <f t="shared" si="7"/>
        <v>4.1216386450786159E-2</v>
      </c>
      <c r="M45">
        <f t="shared" si="8"/>
        <v>5.1022940246628609E-2</v>
      </c>
      <c r="N45">
        <f t="shared" si="8"/>
        <v>6.1206932705797343E-2</v>
      </c>
      <c r="O45">
        <f t="shared" si="8"/>
        <v>7.1150067515499377E-2</v>
      </c>
      <c r="P45">
        <f t="shared" si="8"/>
        <v>8.0147426731358495E-2</v>
      </c>
      <c r="Q45">
        <f t="shared" si="8"/>
        <v>8.7486978127657253E-2</v>
      </c>
      <c r="R45">
        <f t="shared" si="8"/>
        <v>9.2541559682733102E-2</v>
      </c>
      <c r="S45">
        <f t="shared" si="8"/>
        <v>9.4857086155215528E-2</v>
      </c>
      <c r="T45">
        <f t="shared" si="8"/>
        <v>9.4219828816261786E-2</v>
      </c>
      <c r="U45">
        <f t="shared" si="8"/>
        <v>9.0688957189037286E-2</v>
      </c>
      <c r="V45">
        <f t="shared" si="8"/>
        <v>8.4587477003028558E-2</v>
      </c>
      <c r="W45">
        <f t="shared" si="9"/>
        <v>7.6453487485396529E-2</v>
      </c>
      <c r="X45">
        <f t="shared" si="9"/>
        <v>6.6961950647182147E-2</v>
      </c>
      <c r="Y45">
        <f t="shared" si="9"/>
        <v>5.6832722145541713E-2</v>
      </c>
      <c r="Z45">
        <f t="shared" si="9"/>
        <v>4.6742117842376037E-2</v>
      </c>
      <c r="AA45">
        <f t="shared" si="9"/>
        <v>3.7252710715284139E-2</v>
      </c>
      <c r="AB45">
        <f t="shared" si="9"/>
        <v>2.8770468894921152E-2</v>
      </c>
      <c r="AC45">
        <f t="shared" si="9"/>
        <v>2.1531563460117756E-2</v>
      </c>
      <c r="AD45">
        <f t="shared" si="9"/>
        <v>1.5615063636600078E-2</v>
      </c>
      <c r="AE45">
        <f t="shared" si="9"/>
        <v>1.0973660421552147E-2</v>
      </c>
      <c r="AF45">
        <f t="shared" si="9"/>
        <v>7.4730664058009887E-3</v>
      </c>
      <c r="AG45">
        <f t="shared" si="10"/>
        <v>4.9315760193234482E-3</v>
      </c>
      <c r="AH45">
        <f t="shared" si="10"/>
        <v>3.1536405330059316E-3</v>
      </c>
      <c r="AI45">
        <f t="shared" si="10"/>
        <v>1.9542414104098721E-3</v>
      </c>
      <c r="AJ45">
        <f t="shared" si="10"/>
        <v>1.1735019099302195E-3</v>
      </c>
      <c r="AK45">
        <f t="shared" si="10"/>
        <v>6.8285572666786911E-4</v>
      </c>
      <c r="AL45">
        <f t="shared" si="10"/>
        <v>3.8504694070486296E-4</v>
      </c>
      <c r="AM45">
        <f t="shared" si="10"/>
        <v>2.1039623529127118E-4</v>
      </c>
      <c r="AN45">
        <f t="shared" si="10"/>
        <v>1.1140426508943462E-4</v>
      </c>
      <c r="AO45">
        <f t="shared" si="10"/>
        <v>5.7161713337348694E-5</v>
      </c>
      <c r="AP45">
        <f t="shared" si="10"/>
        <v>2.8421580393191757E-5</v>
      </c>
      <c r="AQ45">
        <f t="shared" si="11"/>
        <v>1.3694014242856584E-5</v>
      </c>
      <c r="AR45">
        <f t="shared" si="11"/>
        <v>6.393709398617553E-6</v>
      </c>
      <c r="AS45">
        <f t="shared" si="11"/>
        <v>2.8927744788170184E-6</v>
      </c>
      <c r="AT45">
        <f t="shared" si="11"/>
        <v>1.2682819962185308E-6</v>
      </c>
      <c r="AU45">
        <f t="shared" si="11"/>
        <v>5.3883605001332048E-7</v>
      </c>
      <c r="AV45">
        <f t="shared" si="11"/>
        <v>2.2183855428291483E-7</v>
      </c>
      <c r="AW45">
        <f t="shared" si="11"/>
        <v>8.8502792661863877E-8</v>
      </c>
      <c r="AX45">
        <f t="shared" si="11"/>
        <v>3.4214995684219498E-8</v>
      </c>
      <c r="AY45">
        <f t="shared" si="11"/>
        <v>1.2817861374315681E-8</v>
      </c>
      <c r="AZ45">
        <f t="shared" si="11"/>
        <v>4.6532267632178324E-9</v>
      </c>
      <c r="BA45">
        <f t="shared" si="11"/>
        <v>1.6369387529982319E-9</v>
      </c>
    </row>
    <row r="46" spans="1:63" hidden="1" x14ac:dyDescent="0.25">
      <c r="A46" s="1">
        <v>13</v>
      </c>
      <c r="B46" s="2">
        <f t="shared" si="6"/>
        <v>-0.69561854925356403</v>
      </c>
      <c r="C46">
        <f t="shared" si="7"/>
        <v>1.5603542630487396E-3</v>
      </c>
      <c r="D46">
        <f t="shared" si="7"/>
        <v>2.5782473802764059E-3</v>
      </c>
      <c r="E46">
        <f t="shared" si="7"/>
        <v>4.128245579882138E-3</v>
      </c>
      <c r="F46">
        <f t="shared" si="7"/>
        <v>6.405396676669551E-3</v>
      </c>
      <c r="G46">
        <f t="shared" si="7"/>
        <v>9.6308828867498666E-3</v>
      </c>
      <c r="H46">
        <f t="shared" si="7"/>
        <v>1.4032199145333525E-2</v>
      </c>
      <c r="I46">
        <f t="shared" si="7"/>
        <v>1.9811845999846533E-2</v>
      </c>
      <c r="J46">
        <f t="shared" si="7"/>
        <v>2.7105892619121351E-2</v>
      </c>
      <c r="K46">
        <f t="shared" si="7"/>
        <v>3.5937019035207123E-2</v>
      </c>
      <c r="L46">
        <f t="shared" si="7"/>
        <v>4.6170008227256254E-2</v>
      </c>
      <c r="M46">
        <f t="shared" si="8"/>
        <v>5.7480087467371509E-2</v>
      </c>
      <c r="N46">
        <f t="shared" si="8"/>
        <v>6.9344888603051463E-2</v>
      </c>
      <c r="O46">
        <f t="shared" si="8"/>
        <v>8.1068298038655451E-2</v>
      </c>
      <c r="P46">
        <f t="shared" si="8"/>
        <v>9.1839016070841134E-2</v>
      </c>
      <c r="Q46">
        <f t="shared" si="8"/>
        <v>0.10081913223329488</v>
      </c>
      <c r="R46">
        <f t="shared" si="8"/>
        <v>0.10725023539603749</v>
      </c>
      <c r="S46">
        <f t="shared" si="8"/>
        <v>0.11055874982955621</v>
      </c>
      <c r="T46">
        <f t="shared" si="8"/>
        <v>0.11044029305864841</v>
      </c>
      <c r="U46">
        <f t="shared" si="8"/>
        <v>0.10690586891164876</v>
      </c>
      <c r="V46">
        <f t="shared" si="8"/>
        <v>0.10028018146975458</v>
      </c>
      <c r="W46">
        <f t="shared" si="9"/>
        <v>9.1152427887468815E-2</v>
      </c>
      <c r="X46">
        <f t="shared" si="9"/>
        <v>8.0289903600660309E-2</v>
      </c>
      <c r="Y46">
        <f t="shared" si="9"/>
        <v>6.8531967192297927E-2</v>
      </c>
      <c r="Z46">
        <f t="shared" si="9"/>
        <v>5.6684592156089599E-2</v>
      </c>
      <c r="AA46">
        <f t="shared" si="9"/>
        <v>4.5433523647190985E-2</v>
      </c>
      <c r="AB46">
        <f t="shared" si="9"/>
        <v>3.5288027278515689E-2</v>
      </c>
      <c r="AC46">
        <f t="shared" si="9"/>
        <v>2.6559378416813828E-2</v>
      </c>
      <c r="AD46">
        <f t="shared" si="9"/>
        <v>1.9370819717826775E-2</v>
      </c>
      <c r="AE46">
        <f t="shared" si="9"/>
        <v>1.369044792841757E-2</v>
      </c>
      <c r="AF46">
        <f t="shared" si="9"/>
        <v>9.376200429074286E-3</v>
      </c>
      <c r="AG46">
        <f t="shared" si="10"/>
        <v>6.2226542827338704E-3</v>
      </c>
      <c r="AH46">
        <f t="shared" si="10"/>
        <v>4.0018797079457748E-3</v>
      </c>
      <c r="AI46">
        <f t="shared" si="10"/>
        <v>2.4939741809759997E-3</v>
      </c>
      <c r="AJ46">
        <f t="shared" si="10"/>
        <v>1.5061195374361472E-3</v>
      </c>
      <c r="AK46">
        <f t="shared" si="10"/>
        <v>8.8138670957464574E-4</v>
      </c>
      <c r="AL46">
        <f t="shared" si="10"/>
        <v>4.998194115587879E-4</v>
      </c>
      <c r="AM46">
        <f t="shared" si="10"/>
        <v>2.7466246056724543E-4</v>
      </c>
      <c r="AN46">
        <f t="shared" si="10"/>
        <v>1.462598285469935E-4</v>
      </c>
      <c r="AO46">
        <f t="shared" si="10"/>
        <v>7.5472785635445316E-5</v>
      </c>
      <c r="AP46">
        <f t="shared" si="10"/>
        <v>3.7739423838388003E-5</v>
      </c>
      <c r="AQ46">
        <f t="shared" si="11"/>
        <v>1.8286884317091882E-5</v>
      </c>
      <c r="AR46">
        <f t="shared" si="11"/>
        <v>8.5866494985969379E-6</v>
      </c>
      <c r="AS46">
        <f t="shared" si="11"/>
        <v>3.9070351630016939E-6</v>
      </c>
      <c r="AT46">
        <f t="shared" si="11"/>
        <v>1.7227032386782453E-6</v>
      </c>
      <c r="AU46">
        <f t="shared" si="11"/>
        <v>7.3605994798003534E-7</v>
      </c>
      <c r="AV46">
        <f t="shared" si="11"/>
        <v>3.047582486925049E-7</v>
      </c>
      <c r="AW46">
        <f t="shared" si="11"/>
        <v>1.2227490044803793E-7</v>
      </c>
      <c r="AX46">
        <f t="shared" si="11"/>
        <v>4.7539951323701431E-8</v>
      </c>
      <c r="AY46">
        <f t="shared" si="11"/>
        <v>1.7910995041133537E-8</v>
      </c>
      <c r="AZ46">
        <f t="shared" si="11"/>
        <v>6.5391343564966423E-9</v>
      </c>
      <c r="BA46">
        <f t="shared" si="11"/>
        <v>2.3134513648874888E-9</v>
      </c>
    </row>
    <row r="47" spans="1:63" hidden="1" x14ac:dyDescent="0.25">
      <c r="A47" s="1">
        <v>14</v>
      </c>
      <c r="B47" s="2">
        <f t="shared" si="6"/>
        <v>-0.50443188132816674</v>
      </c>
      <c r="C47">
        <f t="shared" si="7"/>
        <v>1.6006245314674969E-3</v>
      </c>
      <c r="D47">
        <f t="shared" si="7"/>
        <v>2.6598230305758313E-3</v>
      </c>
      <c r="E47">
        <f t="shared" si="7"/>
        <v>4.2830740371776668E-3</v>
      </c>
      <c r="F47">
        <f t="shared" si="7"/>
        <v>6.683408202614113E-3</v>
      </c>
      <c r="G47">
        <f t="shared" si="7"/>
        <v>1.0106015479935915E-2</v>
      </c>
      <c r="H47">
        <f t="shared" si="7"/>
        <v>1.4808173597496487E-2</v>
      </c>
      <c r="I47">
        <f t="shared" si="7"/>
        <v>2.1026287630419273E-2</v>
      </c>
      <c r="J47">
        <f t="shared" si="7"/>
        <v>2.8930988404217012E-2</v>
      </c>
      <c r="K47">
        <f t="shared" si="7"/>
        <v>3.857478440790249E-2</v>
      </c>
      <c r="L47">
        <f t="shared" si="7"/>
        <v>4.9840605508837926E-2</v>
      </c>
      <c r="M47">
        <f t="shared" si="8"/>
        <v>6.2402599064018571E-2</v>
      </c>
      <c r="N47">
        <f t="shared" si="8"/>
        <v>7.5711458594346984E-2</v>
      </c>
      <c r="O47">
        <f t="shared" si="8"/>
        <v>8.9014368218174669E-2</v>
      </c>
      <c r="P47">
        <f t="shared" si="8"/>
        <v>0.10141406258591475</v>
      </c>
      <c r="Q47">
        <f t="shared" si="8"/>
        <v>0.11196333178002135</v>
      </c>
      <c r="R47">
        <f t="shared" si="8"/>
        <v>0.11978240061446349</v>
      </c>
      <c r="S47">
        <f t="shared" si="8"/>
        <v>0.12417946314328673</v>
      </c>
      <c r="T47">
        <f t="shared" si="8"/>
        <v>0.12475159567233494</v>
      </c>
      <c r="U47">
        <f t="shared" si="8"/>
        <v>0.12144566205863862</v>
      </c>
      <c r="V47">
        <f t="shared" si="8"/>
        <v>0.11456645376371659</v>
      </c>
      <c r="W47">
        <f t="shared" si="9"/>
        <v>0.10473033677185699</v>
      </c>
      <c r="X47">
        <f t="shared" si="9"/>
        <v>9.2774173896308015E-2</v>
      </c>
      <c r="Y47">
        <f t="shared" si="9"/>
        <v>7.9638167428623091E-2</v>
      </c>
      <c r="Z47">
        <f t="shared" si="9"/>
        <v>6.624528698827245E-2</v>
      </c>
      <c r="AA47">
        <f t="shared" si="9"/>
        <v>5.3398404402371695E-2</v>
      </c>
      <c r="AB47">
        <f t="shared" si="9"/>
        <v>4.171009128938892E-2</v>
      </c>
      <c r="AC47">
        <f t="shared" si="9"/>
        <v>3.1571380092192632E-2</v>
      </c>
      <c r="AD47">
        <f t="shared" si="9"/>
        <v>2.3157174023455518E-2</v>
      </c>
      <c r="AE47">
        <f t="shared" si="9"/>
        <v>1.6459518181842991E-2</v>
      </c>
      <c r="AF47">
        <f t="shared" si="9"/>
        <v>1.1336741468505799E-2</v>
      </c>
      <c r="AG47">
        <f t="shared" si="10"/>
        <v>7.5665679004283974E-3</v>
      </c>
      <c r="AH47">
        <f t="shared" si="10"/>
        <v>4.8938335131909665E-3</v>
      </c>
      <c r="AI47">
        <f t="shared" si="10"/>
        <v>3.0671782355936664E-3</v>
      </c>
      <c r="AJ47">
        <f t="shared" si="10"/>
        <v>1.8628093241355439E-3</v>
      </c>
      <c r="AK47">
        <f t="shared" si="10"/>
        <v>1.0963200543221403E-3</v>
      </c>
      <c r="AL47">
        <f t="shared" si="10"/>
        <v>6.2523874108646213E-4</v>
      </c>
      <c r="AM47">
        <f t="shared" si="10"/>
        <v>3.4553652998888152E-4</v>
      </c>
      <c r="AN47">
        <f t="shared" si="10"/>
        <v>1.8504681791436088E-4</v>
      </c>
      <c r="AO47">
        <f t="shared" si="10"/>
        <v>9.6030422845956451E-5</v>
      </c>
      <c r="AP47">
        <f t="shared" si="10"/>
        <v>4.8292048391653279E-5</v>
      </c>
      <c r="AQ47">
        <f t="shared" si="11"/>
        <v>2.3533253835721061E-5</v>
      </c>
      <c r="AR47">
        <f t="shared" si="11"/>
        <v>1.1112912566883586E-5</v>
      </c>
      <c r="AS47">
        <f t="shared" si="11"/>
        <v>5.0852625677118335E-6</v>
      </c>
      <c r="AT47">
        <f t="shared" si="11"/>
        <v>2.2549578700108258E-6</v>
      </c>
      <c r="AU47">
        <f t="shared" si="11"/>
        <v>9.6895375217580011E-7</v>
      </c>
      <c r="AV47">
        <f t="shared" si="11"/>
        <v>4.0346626832212971E-7</v>
      </c>
      <c r="AW47">
        <f t="shared" si="11"/>
        <v>1.6279871789599456E-7</v>
      </c>
      <c r="AX47">
        <f t="shared" si="11"/>
        <v>6.3655259838965498E-8</v>
      </c>
      <c r="AY47">
        <f t="shared" si="11"/>
        <v>2.4118882196695051E-8</v>
      </c>
      <c r="AZ47">
        <f t="shared" si="11"/>
        <v>8.855633275426779E-9</v>
      </c>
      <c r="BA47">
        <f t="shared" si="11"/>
        <v>3.1508058038053316E-9</v>
      </c>
    </row>
    <row r="48" spans="1:63" hidden="1" x14ac:dyDescent="0.25">
      <c r="A48" s="1">
        <v>15</v>
      </c>
      <c r="B48" s="2">
        <f t="shared" si="6"/>
        <v>-0.31324521340276901</v>
      </c>
      <c r="C48">
        <f t="shared" si="7"/>
        <v>1.5823007900225407E-3</v>
      </c>
      <c r="D48">
        <f t="shared" si="7"/>
        <v>2.644321270879569E-3</v>
      </c>
      <c r="E48">
        <f t="shared" si="7"/>
        <v>4.2823184317244941E-3</v>
      </c>
      <c r="F48">
        <f t="shared" si="7"/>
        <v>6.7202164896750611E-3</v>
      </c>
      <c r="G48">
        <f t="shared" si="7"/>
        <v>1.0219440886274951E-2</v>
      </c>
      <c r="H48">
        <f t="shared" si="7"/>
        <v>1.5059500730511254E-2</v>
      </c>
      <c r="I48">
        <f t="shared" si="7"/>
        <v>2.1504709393385391E-2</v>
      </c>
      <c r="J48">
        <f t="shared" si="7"/>
        <v>2.9757479857930688E-2</v>
      </c>
      <c r="K48">
        <f t="shared" si="7"/>
        <v>3.9902332636499151E-2</v>
      </c>
      <c r="L48">
        <f t="shared" si="7"/>
        <v>5.1848952548846229E-2</v>
      </c>
      <c r="M48">
        <f t="shared" si="8"/>
        <v>6.5286179663670313E-2</v>
      </c>
      <c r="N48">
        <f t="shared" si="8"/>
        <v>7.9660328056908966E-2</v>
      </c>
      <c r="O48">
        <f t="shared" si="8"/>
        <v>9.4189499996052098E-2</v>
      </c>
      <c r="P48">
        <f t="shared" si="8"/>
        <v>0.10792012965990104</v>
      </c>
      <c r="Q48">
        <f t="shared" si="8"/>
        <v>0.11982349738768749</v>
      </c>
      <c r="R48">
        <f t="shared" si="8"/>
        <v>0.12892023568052316</v>
      </c>
      <c r="S48">
        <f t="shared" si="8"/>
        <v>0.13441253011866316</v>
      </c>
      <c r="T48">
        <f t="shared" si="8"/>
        <v>0.13579944267581209</v>
      </c>
      <c r="U48">
        <f t="shared" si="8"/>
        <v>0.13295227869196521</v>
      </c>
      <c r="V48">
        <f t="shared" si="8"/>
        <v>0.12613428475816021</v>
      </c>
      <c r="W48">
        <f t="shared" si="9"/>
        <v>0.11596049984681865</v>
      </c>
      <c r="X48">
        <f t="shared" si="9"/>
        <v>0.10330624468172825</v>
      </c>
      <c r="Y48">
        <f t="shared" si="9"/>
        <v>8.918311486518038E-2</v>
      </c>
      <c r="Z48">
        <f t="shared" si="9"/>
        <v>7.4606774587248889E-2</v>
      </c>
      <c r="AA48">
        <f t="shared" si="9"/>
        <v>6.0480233500056386E-2</v>
      </c>
      <c r="AB48">
        <f t="shared" si="9"/>
        <v>4.7510348887474373E-2</v>
      </c>
      <c r="AC48">
        <f t="shared" si="9"/>
        <v>3.6166172231065996E-2</v>
      </c>
      <c r="AD48">
        <f t="shared" si="9"/>
        <v>2.6678194766541517E-2</v>
      </c>
      <c r="AE48">
        <f t="shared" si="9"/>
        <v>1.9069965072404983E-2</v>
      </c>
      <c r="AF48">
        <f t="shared" si="9"/>
        <v>1.3209394861673914E-2</v>
      </c>
      <c r="AG48">
        <f t="shared" si="10"/>
        <v>8.8665672732382416E-3</v>
      </c>
      <c r="AH48">
        <f t="shared" si="10"/>
        <v>5.7672352990725626E-3</v>
      </c>
      <c r="AI48">
        <f t="shared" si="10"/>
        <v>3.6351253726786665E-3</v>
      </c>
      <c r="AJ48">
        <f t="shared" si="10"/>
        <v>2.2202950122487178E-3</v>
      </c>
      <c r="AK48">
        <f t="shared" si="10"/>
        <v>1.3141397100942679E-3</v>
      </c>
      <c r="AL48">
        <f t="shared" si="10"/>
        <v>7.5372333387776201E-4</v>
      </c>
      <c r="AM48">
        <f t="shared" si="10"/>
        <v>4.1891117720377585E-4</v>
      </c>
      <c r="AN48">
        <f t="shared" si="10"/>
        <v>2.2561683472450562E-4</v>
      </c>
      <c r="AO48">
        <f t="shared" si="10"/>
        <v>1.1774992034316667E-4</v>
      </c>
      <c r="AP48">
        <f t="shared" si="10"/>
        <v>5.9551034198728227E-5</v>
      </c>
      <c r="AQ48">
        <f t="shared" si="11"/>
        <v>2.918485636980634E-5</v>
      </c>
      <c r="AR48">
        <f t="shared" si="11"/>
        <v>1.3860068563096929E-5</v>
      </c>
      <c r="AS48">
        <f t="shared" si="11"/>
        <v>6.3784148633949664E-6</v>
      </c>
      <c r="AT48">
        <f t="shared" si="11"/>
        <v>2.8444592321776448E-6</v>
      </c>
      <c r="AU48">
        <f t="shared" si="11"/>
        <v>1.2292104122675734E-6</v>
      </c>
      <c r="AV48">
        <f t="shared" si="11"/>
        <v>5.1474520910038951E-7</v>
      </c>
      <c r="AW48">
        <f t="shared" si="11"/>
        <v>2.0888053065231637E-7</v>
      </c>
      <c r="AX48">
        <f t="shared" si="11"/>
        <v>8.2137820947601327E-8</v>
      </c>
      <c r="AY48">
        <f t="shared" si="11"/>
        <v>3.1298819558506685E-8</v>
      </c>
      <c r="AZ48">
        <f t="shared" si="11"/>
        <v>1.155719139739415E-8</v>
      </c>
      <c r="BA48">
        <f t="shared" si="11"/>
        <v>4.1353875797310018E-9</v>
      </c>
    </row>
    <row r="49" spans="1:53" hidden="1" x14ac:dyDescent="0.25">
      <c r="A49" s="1">
        <v>16</v>
      </c>
      <c r="B49" s="2">
        <f t="shared" si="6"/>
        <v>-0.12205854547737172</v>
      </c>
      <c r="C49">
        <f t="shared" si="7"/>
        <v>1.5073771948410383E-3</v>
      </c>
      <c r="D49">
        <f t="shared" si="7"/>
        <v>2.5334306136585555E-3</v>
      </c>
      <c r="E49">
        <f t="shared" si="7"/>
        <v>4.1260610918881875E-3</v>
      </c>
      <c r="F49">
        <f t="shared" si="7"/>
        <v>6.5118120929397389E-3</v>
      </c>
      <c r="G49">
        <f t="shared" si="7"/>
        <v>9.9588142472916297E-3</v>
      </c>
      <c r="H49">
        <f t="shared" si="7"/>
        <v>1.475886533464886E-2</v>
      </c>
      <c r="I49">
        <f t="shared" si="7"/>
        <v>2.119521734498702E-2</v>
      </c>
      <c r="J49">
        <f t="shared" si="7"/>
        <v>2.9495947036005797E-2</v>
      </c>
      <c r="K49">
        <f t="shared" si="7"/>
        <v>3.9776483064808459E-2</v>
      </c>
      <c r="L49">
        <f t="shared" si="7"/>
        <v>5.1979247014958707E-2</v>
      </c>
      <c r="M49">
        <f t="shared" si="8"/>
        <v>6.5822315015264518E-2</v>
      </c>
      <c r="N49">
        <f t="shared" si="8"/>
        <v>8.0771079554107714E-2</v>
      </c>
      <c r="O49">
        <f t="shared" si="8"/>
        <v>9.6045758031085518E-2</v>
      </c>
      <c r="P49">
        <f t="shared" si="8"/>
        <v>0.11067258542430816</v>
      </c>
      <c r="Q49">
        <f t="shared" si="8"/>
        <v>0.12357809293073957</v>
      </c>
      <c r="R49">
        <f t="shared" si="8"/>
        <v>0.1337157264801378</v>
      </c>
      <c r="S49">
        <f t="shared" si="8"/>
        <v>0.14020485534660471</v>
      </c>
      <c r="T49">
        <f t="shared" si="8"/>
        <v>0.14245680022178261</v>
      </c>
      <c r="U49">
        <f t="shared" si="8"/>
        <v>0.14026292230802651</v>
      </c>
      <c r="V49">
        <f t="shared" si="8"/>
        <v>0.13382650828964962</v>
      </c>
      <c r="W49">
        <f t="shared" si="9"/>
        <v>0.12373169909503494</v>
      </c>
      <c r="X49">
        <f t="shared" si="9"/>
        <v>0.11085604309886801</v>
      </c>
      <c r="Y49">
        <f t="shared" si="9"/>
        <v>9.6244813435232501E-2</v>
      </c>
      <c r="Z49">
        <f t="shared" si="9"/>
        <v>8.0971999413961354E-2</v>
      </c>
      <c r="AA49">
        <f t="shared" si="9"/>
        <v>6.601337814007735E-2</v>
      </c>
      <c r="AB49">
        <f t="shared" si="9"/>
        <v>5.2151717830002289E-2</v>
      </c>
      <c r="AC49">
        <f t="shared" si="9"/>
        <v>3.9924992656112657E-2</v>
      </c>
      <c r="AD49">
        <f t="shared" si="9"/>
        <v>2.9618334780330224E-2</v>
      </c>
      <c r="AE49">
        <f t="shared" si="9"/>
        <v>2.1291977404127221E-2</v>
      </c>
      <c r="AF49">
        <f t="shared" si="9"/>
        <v>1.483238267172224E-2</v>
      </c>
      <c r="AG49">
        <f t="shared" si="10"/>
        <v>1.0012566482451558E-2</v>
      </c>
      <c r="AH49">
        <f t="shared" si="10"/>
        <v>6.5496707703481807E-3</v>
      </c>
      <c r="AI49">
        <f t="shared" si="10"/>
        <v>4.1517681547724181E-3</v>
      </c>
      <c r="AJ49">
        <f t="shared" si="10"/>
        <v>2.550270709333044E-3</v>
      </c>
      <c r="AK49">
        <f t="shared" si="10"/>
        <v>1.5180254006505135E-3</v>
      </c>
      <c r="AL49">
        <f t="shared" si="10"/>
        <v>8.7561130535399815E-4</v>
      </c>
      <c r="AM49">
        <f t="shared" si="10"/>
        <v>4.8942173034166071E-4</v>
      </c>
      <c r="AN49">
        <f t="shared" si="10"/>
        <v>2.6509082828959799E-4</v>
      </c>
      <c r="AO49">
        <f t="shared" si="10"/>
        <v>1.3913798903900578E-4</v>
      </c>
      <c r="AP49">
        <f t="shared" si="10"/>
        <v>7.0767900014655219E-5</v>
      </c>
      <c r="AQ49">
        <f t="shared" si="11"/>
        <v>3.487919562302951E-5</v>
      </c>
      <c r="AR49">
        <f t="shared" si="11"/>
        <v>1.6658510972378367E-5</v>
      </c>
      <c r="AS49">
        <f t="shared" si="11"/>
        <v>7.7098417474852857E-6</v>
      </c>
      <c r="AT49">
        <f t="shared" si="11"/>
        <v>3.4577557682838748E-6</v>
      </c>
      <c r="AU49">
        <f t="shared" si="11"/>
        <v>1.5027361407712072E-6</v>
      </c>
      <c r="AV49">
        <f t="shared" si="11"/>
        <v>6.3286446978712895E-7</v>
      </c>
      <c r="AW49">
        <f t="shared" si="11"/>
        <v>2.5827255762516554E-7</v>
      </c>
      <c r="AX49">
        <f t="shared" si="11"/>
        <v>1.0213753644431482E-7</v>
      </c>
      <c r="AY49">
        <f t="shared" si="11"/>
        <v>3.9141012857193382E-8</v>
      </c>
      <c r="AZ49">
        <f t="shared" si="11"/>
        <v>1.4535109476820397E-8</v>
      </c>
      <c r="BA49">
        <f t="shared" si="11"/>
        <v>5.2305110112631934E-9</v>
      </c>
    </row>
    <row r="50" spans="1:53" hidden="1" x14ac:dyDescent="0.25">
      <c r="A50" s="1">
        <v>17</v>
      </c>
      <c r="B50" s="2">
        <f t="shared" si="6"/>
        <v>6.9128122448026019E-2</v>
      </c>
      <c r="C50">
        <f t="shared" si="7"/>
        <v>1.3838472514975631E-3</v>
      </c>
      <c r="D50">
        <f t="shared" si="7"/>
        <v>2.3390372023545302E-3</v>
      </c>
      <c r="E50">
        <f t="shared" si="7"/>
        <v>3.8311192402157531E-3</v>
      </c>
      <c r="F50">
        <f t="shared" si="7"/>
        <v>6.0807027702734868E-3</v>
      </c>
      <c r="G50">
        <f t="shared" si="7"/>
        <v>9.3523649887393007E-3</v>
      </c>
      <c r="H50">
        <f t="shared" si="7"/>
        <v>1.3938905882774088E-2</v>
      </c>
      <c r="I50">
        <f t="shared" si="7"/>
        <v>2.0131470085877134E-2</v>
      </c>
      <c r="J50">
        <f t="shared" si="7"/>
        <v>2.8174866089733963E-2</v>
      </c>
      <c r="K50">
        <f t="shared" si="7"/>
        <v>3.8210946655220082E-2</v>
      </c>
      <c r="L50">
        <f t="shared" si="7"/>
        <v>5.021729322381846E-2</v>
      </c>
      <c r="M50">
        <f t="shared" si="8"/>
        <v>6.3952624060068075E-2</v>
      </c>
      <c r="N50">
        <f t="shared" si="8"/>
        <v>7.8922894355664727E-2</v>
      </c>
      <c r="O50">
        <f t="shared" si="8"/>
        <v>9.4381571645319073E-2</v>
      </c>
      <c r="P50">
        <f t="shared" si="8"/>
        <v>0.10937321346328546</v>
      </c>
      <c r="Q50">
        <f t="shared" si="8"/>
        <v>0.12282147411878264</v>
      </c>
      <c r="R50">
        <f t="shared" si="8"/>
        <v>0.13365253639391739</v>
      </c>
      <c r="S50">
        <f t="shared" si="8"/>
        <v>0.14093526310855681</v>
      </c>
      <c r="T50">
        <f t="shared" si="8"/>
        <v>0.14401300160318706</v>
      </c>
      <c r="U50">
        <f t="shared" si="8"/>
        <v>0.14260123939443464</v>
      </c>
      <c r="V50">
        <f t="shared" si="8"/>
        <v>0.13683098839180224</v>
      </c>
      <c r="W50">
        <f t="shared" si="9"/>
        <v>0.12722873060921538</v>
      </c>
      <c r="X50">
        <f t="shared" si="9"/>
        <v>0.11463717898924713</v>
      </c>
      <c r="Y50">
        <f t="shared" si="9"/>
        <v>0.10009337946522973</v>
      </c>
      <c r="Z50">
        <f t="shared" si="9"/>
        <v>8.4688566366585713E-2</v>
      </c>
      <c r="AA50">
        <f t="shared" si="9"/>
        <v>6.9435853087879876E-2</v>
      </c>
      <c r="AB50">
        <f t="shared" si="9"/>
        <v>5.5167377112055466E-2</v>
      </c>
      <c r="AC50">
        <f t="shared" si="9"/>
        <v>4.2473735974414603E-2</v>
      </c>
      <c r="AD50">
        <f t="shared" si="9"/>
        <v>3.1688242721365632E-2</v>
      </c>
      <c r="AE50">
        <f t="shared" si="9"/>
        <v>2.2909489669784976E-2</v>
      </c>
      <c r="AF50">
        <f t="shared" si="9"/>
        <v>1.6049896647263123E-2</v>
      </c>
      <c r="AG50">
        <f t="shared" si="10"/>
        <v>1.0896038557290131E-2</v>
      </c>
      <c r="AH50">
        <f t="shared" si="10"/>
        <v>7.1681088032460299E-3</v>
      </c>
      <c r="AI50">
        <f t="shared" si="10"/>
        <v>4.5696202705977872E-3</v>
      </c>
      <c r="AJ50">
        <f t="shared" si="10"/>
        <v>2.8228981030900364E-3</v>
      </c>
      <c r="AK50">
        <f t="shared" si="10"/>
        <v>1.6898566208942345E-3</v>
      </c>
      <c r="AL50">
        <f t="shared" si="10"/>
        <v>9.8026631569742592E-4</v>
      </c>
      <c r="AM50">
        <f t="shared" si="10"/>
        <v>5.5103332864909907E-4</v>
      </c>
      <c r="AN50">
        <f t="shared" si="10"/>
        <v>3.0015889754030875E-4</v>
      </c>
      <c r="AO50">
        <f t="shared" si="10"/>
        <v>1.5843974756535469E-4</v>
      </c>
      <c r="AP50">
        <f t="shared" si="10"/>
        <v>8.1043208821391009E-5</v>
      </c>
      <c r="AQ50">
        <f t="shared" si="11"/>
        <v>4.0170633488880551E-5</v>
      </c>
      <c r="AR50">
        <f t="shared" si="11"/>
        <v>1.9294800795635015E-5</v>
      </c>
      <c r="AS50">
        <f t="shared" si="11"/>
        <v>8.9807267754860221E-6</v>
      </c>
      <c r="AT50">
        <f t="shared" si="11"/>
        <v>4.0506268269703105E-6</v>
      </c>
      <c r="AU50">
        <f t="shared" si="11"/>
        <v>1.7704046908133501E-6</v>
      </c>
      <c r="AV50">
        <f t="shared" si="11"/>
        <v>7.4982934826246454E-7</v>
      </c>
      <c r="AW50">
        <f t="shared" si="11"/>
        <v>3.0774562234498682E-7</v>
      </c>
      <c r="AX50">
        <f t="shared" si="11"/>
        <v>1.2239421722842504E-7</v>
      </c>
      <c r="AY50">
        <f t="shared" si="11"/>
        <v>4.7170391476200554E-8</v>
      </c>
      <c r="AZ50">
        <f t="shared" si="11"/>
        <v>1.7616418870377124E-8</v>
      </c>
      <c r="BA50">
        <f t="shared" si="11"/>
        <v>6.3753692257266515E-9</v>
      </c>
    </row>
    <row r="51" spans="1:53" hidden="1" x14ac:dyDescent="0.25">
      <c r="A51" s="1">
        <v>18</v>
      </c>
      <c r="B51" s="2">
        <f t="shared" si="6"/>
        <v>0.26031479037342375</v>
      </c>
      <c r="C51">
        <f t="shared" si="7"/>
        <v>1.2242995500381542E-3</v>
      </c>
      <c r="D51">
        <f t="shared" si="7"/>
        <v>2.0811269047155048E-3</v>
      </c>
      <c r="E51">
        <f t="shared" si="7"/>
        <v>3.4280646510021682E-3</v>
      </c>
      <c r="F51">
        <f t="shared" si="7"/>
        <v>5.4719108105921342E-3</v>
      </c>
      <c r="G51">
        <f t="shared" si="7"/>
        <v>8.4638621659898945E-3</v>
      </c>
      <c r="H51">
        <f t="shared" si="7"/>
        <v>1.2686380140561485E-2</v>
      </c>
      <c r="I51">
        <f t="shared" si="7"/>
        <v>1.8426651626664264E-2</v>
      </c>
      <c r="J51">
        <f t="shared" si="7"/>
        <v>2.5935504228540875E-2</v>
      </c>
      <c r="K51">
        <f t="shared" si="7"/>
        <v>3.537386650718103E-2</v>
      </c>
      <c r="L51">
        <f t="shared" si="7"/>
        <v>4.6753048653993969E-2</v>
      </c>
      <c r="M51">
        <f t="shared" si="8"/>
        <v>5.9879326156107235E-2</v>
      </c>
      <c r="N51">
        <f t="shared" si="8"/>
        <v>7.4316190537598303E-2</v>
      </c>
      <c r="O51">
        <f t="shared" si="8"/>
        <v>8.9377775366347834E-2</v>
      </c>
      <c r="P51">
        <f t="shared" si="8"/>
        <v>0.10416341459391941</v>
      </c>
      <c r="Q51">
        <f t="shared" si="8"/>
        <v>0.11763605225140558</v>
      </c>
      <c r="R51">
        <f t="shared" si="8"/>
        <v>0.12873755040085302</v>
      </c>
      <c r="S51">
        <f t="shared" si="8"/>
        <v>0.13652418948135925</v>
      </c>
      <c r="T51">
        <f t="shared" si="8"/>
        <v>0.1402986650527851</v>
      </c>
      <c r="U51">
        <f t="shared" si="8"/>
        <v>0.13971307028789343</v>
      </c>
      <c r="V51">
        <f t="shared" si="8"/>
        <v>0.13482179368204286</v>
      </c>
      <c r="W51">
        <f t="shared" si="9"/>
        <v>0.1260731868362302</v>
      </c>
      <c r="X51">
        <f t="shared" si="9"/>
        <v>0.11424177105870831</v>
      </c>
      <c r="Y51">
        <f t="shared" si="9"/>
        <v>0.10031518759841684</v>
      </c>
      <c r="Z51">
        <f t="shared" si="9"/>
        <v>8.5358744414946258E-2</v>
      </c>
      <c r="AA51">
        <f t="shared" si="9"/>
        <v>7.0383184531625856E-2</v>
      </c>
      <c r="AB51">
        <f t="shared" si="9"/>
        <v>5.623793606265845E-2</v>
      </c>
      <c r="AC51">
        <f t="shared" si="9"/>
        <v>4.354410821016997E-2</v>
      </c>
      <c r="AD51">
        <f t="shared" si="9"/>
        <v>3.2671493944892674E-2</v>
      </c>
      <c r="AE51">
        <f t="shared" si="9"/>
        <v>2.375462357068921E-2</v>
      </c>
      <c r="AF51">
        <f t="shared" si="9"/>
        <v>1.6736586174953272E-2</v>
      </c>
      <c r="AG51">
        <f t="shared" si="10"/>
        <v>1.1426814293912096E-2</v>
      </c>
      <c r="AH51">
        <f t="shared" si="10"/>
        <v>7.5600214353434151E-3</v>
      </c>
      <c r="AI51">
        <f t="shared" si="10"/>
        <v>4.8468597216350644E-3</v>
      </c>
      <c r="AJ51">
        <f t="shared" si="10"/>
        <v>3.0111850131762374E-3</v>
      </c>
      <c r="AK51">
        <f t="shared" si="10"/>
        <v>1.8128171289780732E-3</v>
      </c>
      <c r="AL51">
        <f t="shared" si="10"/>
        <v>1.0575724238684405E-3</v>
      </c>
      <c r="AM51">
        <f t="shared" si="10"/>
        <v>5.9786868435253383E-4</v>
      </c>
      <c r="AN51">
        <f t="shared" si="10"/>
        <v>3.2752243972962149E-4</v>
      </c>
      <c r="AO51">
        <f t="shared" si="10"/>
        <v>1.7386648761162562E-4</v>
      </c>
      <c r="AP51">
        <f t="shared" si="10"/>
        <v>8.9439686280376598E-5</v>
      </c>
      <c r="AQ51">
        <f t="shared" si="11"/>
        <v>4.4584532773827604E-5</v>
      </c>
      <c r="AR51">
        <f t="shared" si="11"/>
        <v>2.1536629581585736E-5</v>
      </c>
      <c r="AS51">
        <f t="shared" si="11"/>
        <v>1.0081167329115433E-5</v>
      </c>
      <c r="AT51">
        <f t="shared" si="11"/>
        <v>4.5728133419684345E-6</v>
      </c>
      <c r="AU51">
        <f t="shared" si="11"/>
        <v>2.0099983055162534E-6</v>
      </c>
      <c r="AV51">
        <f t="shared" si="11"/>
        <v>8.5614529528761314E-7</v>
      </c>
      <c r="AW51">
        <f t="shared" si="11"/>
        <v>3.533774428863683E-7</v>
      </c>
      <c r="AX51">
        <f t="shared" si="11"/>
        <v>1.4134151405700276E-7</v>
      </c>
      <c r="AY51">
        <f t="shared" si="11"/>
        <v>5.4782294808512028E-8</v>
      </c>
      <c r="AZ51">
        <f t="shared" si="11"/>
        <v>2.0575493873424081E-8</v>
      </c>
      <c r="BA51">
        <f t="shared" si="11"/>
        <v>7.488587043130222E-9</v>
      </c>
    </row>
    <row r="52" spans="1:53" hidden="1" x14ac:dyDescent="0.25">
      <c r="A52" s="1">
        <v>19</v>
      </c>
      <c r="B52" s="2">
        <f t="shared" si="6"/>
        <v>0.45150145829882105</v>
      </c>
      <c r="C52">
        <f t="shared" si="7"/>
        <v>1.0438078138417716E-3</v>
      </c>
      <c r="D52">
        <f t="shared" si="7"/>
        <v>1.7844045322874462E-3</v>
      </c>
      <c r="E52">
        <f t="shared" si="7"/>
        <v>2.9560083589274203E-3</v>
      </c>
      <c r="F52">
        <f t="shared" si="7"/>
        <v>4.7452332416166544E-3</v>
      </c>
      <c r="G52">
        <f t="shared" si="7"/>
        <v>7.3815749957905855E-3</v>
      </c>
      <c r="H52">
        <f t="shared" si="7"/>
        <v>1.1127050907546334E-2</v>
      </c>
      <c r="I52">
        <f t="shared" si="7"/>
        <v>1.6253641618676991E-2</v>
      </c>
      <c r="J52">
        <f t="shared" si="7"/>
        <v>2.3007045447854507E-2</v>
      </c>
      <c r="K52">
        <f t="shared" si="7"/>
        <v>3.1558081052793265E-2</v>
      </c>
      <c r="L52">
        <f t="shared" si="7"/>
        <v>4.1946901888757764E-2</v>
      </c>
      <c r="M52">
        <f t="shared" si="8"/>
        <v>5.4029227655713788E-2</v>
      </c>
      <c r="N52">
        <f t="shared" si="8"/>
        <v>6.7436837355528523E-2</v>
      </c>
      <c r="O52">
        <f t="shared" si="8"/>
        <v>8.1565254565162199E-2</v>
      </c>
      <c r="P52">
        <f t="shared" si="8"/>
        <v>9.5598871008453795E-2</v>
      </c>
      <c r="Q52">
        <f t="shared" si="8"/>
        <v>0.10857751480790133</v>
      </c>
      <c r="R52">
        <f t="shared" si="8"/>
        <v>0.11949963994095318</v>
      </c>
      <c r="S52">
        <f t="shared" si="8"/>
        <v>0.12744795244387783</v>
      </c>
      <c r="T52">
        <f t="shared" si="8"/>
        <v>0.13171604885607471</v>
      </c>
      <c r="U52">
        <f t="shared" si="8"/>
        <v>0.13191193548141381</v>
      </c>
      <c r="V52">
        <f t="shared" si="8"/>
        <v>0.12801741598578761</v>
      </c>
      <c r="W52">
        <f t="shared" si="9"/>
        <v>0.12039087948185716</v>
      </c>
      <c r="X52">
        <f t="shared" si="9"/>
        <v>0.10971289715986315</v>
      </c>
      <c r="Y52">
        <f t="shared" si="9"/>
        <v>9.6886071367174989E-2</v>
      </c>
      <c r="Z52">
        <f t="shared" si="9"/>
        <v>8.2909553198019875E-2</v>
      </c>
      <c r="AA52">
        <f t="shared" si="9"/>
        <v>6.8752321866944133E-2</v>
      </c>
      <c r="AB52">
        <f t="shared" si="9"/>
        <v>5.5247131065994194E-2</v>
      </c>
      <c r="AC52">
        <f t="shared" si="9"/>
        <v>4.3020123959793578E-2</v>
      </c>
      <c r="AD52">
        <f t="shared" si="9"/>
        <v>3.2461841326784313E-2</v>
      </c>
      <c r="AE52">
        <f t="shared" si="9"/>
        <v>2.3736364903912857E-2</v>
      </c>
      <c r="AF52">
        <f t="shared" si="9"/>
        <v>1.6818793379021396E-2</v>
      </c>
      <c r="AG52">
        <f t="shared" si="10"/>
        <v>1.1548219412537386E-2</v>
      </c>
      <c r="AH52">
        <f t="shared" si="10"/>
        <v>7.6837775692032055E-3</v>
      </c>
      <c r="AI52">
        <f t="shared" si="10"/>
        <v>4.9542065380045837E-3</v>
      </c>
      <c r="AJ52">
        <f t="shared" si="10"/>
        <v>3.095373056459337E-3</v>
      </c>
      <c r="AK52">
        <f t="shared" si="10"/>
        <v>1.8740943612075847E-3</v>
      </c>
      <c r="AL52">
        <f t="shared" si="10"/>
        <v>1.0995360578737352E-3</v>
      </c>
      <c r="AM52">
        <f t="shared" si="10"/>
        <v>6.2512528316860372E-4</v>
      </c>
      <c r="AN52">
        <f t="shared" si="10"/>
        <v>3.4440085315448962E-4</v>
      </c>
      <c r="AO52">
        <f t="shared" si="10"/>
        <v>1.8386579296273561E-4</v>
      </c>
      <c r="AP52">
        <f t="shared" si="10"/>
        <v>9.512117923288648E-5</v>
      </c>
      <c r="AQ52">
        <f t="shared" si="11"/>
        <v>4.7686239797220713E-5</v>
      </c>
      <c r="AR52">
        <f t="shared" si="11"/>
        <v>2.316586372174952E-5</v>
      </c>
      <c r="AS52">
        <f t="shared" si="11"/>
        <v>1.0905447268181804E-5</v>
      </c>
      <c r="AT52">
        <f t="shared" si="11"/>
        <v>4.9748275780260853E-6</v>
      </c>
      <c r="AU52">
        <f t="shared" si="11"/>
        <v>2.1991363155895196E-6</v>
      </c>
      <c r="AV52">
        <f t="shared" si="11"/>
        <v>9.4203238612320846E-7</v>
      </c>
      <c r="AW52">
        <f t="shared" si="11"/>
        <v>3.9103810811976618E-7</v>
      </c>
      <c r="AX52">
        <f t="shared" si="11"/>
        <v>1.5729390651678106E-7</v>
      </c>
      <c r="AY52">
        <f t="shared" si="11"/>
        <v>6.131183019404812E-8</v>
      </c>
      <c r="AZ52">
        <f t="shared" si="11"/>
        <v>2.3158809378470955E-8</v>
      </c>
      <c r="BA52">
        <f t="shared" si="11"/>
        <v>8.4767181262931334E-9</v>
      </c>
    </row>
    <row r="53" spans="1:53" hidden="1" x14ac:dyDescent="0.25">
      <c r="A53" s="1">
        <v>20</v>
      </c>
      <c r="B53" s="2">
        <f t="shared" si="6"/>
        <v>0.64268812622421878</v>
      </c>
      <c r="C53">
        <f t="shared" si="7"/>
        <v>8.5760383957604472E-4</v>
      </c>
      <c r="D53">
        <f t="shared" si="7"/>
        <v>1.4744206028942527E-3</v>
      </c>
      <c r="E53">
        <f t="shared" si="7"/>
        <v>2.4563804439796245E-3</v>
      </c>
      <c r="F53">
        <f t="shared" si="7"/>
        <v>3.9656048547415243E-3</v>
      </c>
      <c r="G53">
        <f t="shared" si="7"/>
        <v>6.2038717333399943E-3</v>
      </c>
      <c r="H53">
        <f t="shared" si="7"/>
        <v>9.404933924739985E-3</v>
      </c>
      <c r="I53">
        <f t="shared" si="7"/>
        <v>1.381618861504133E-2</v>
      </c>
      <c r="J53">
        <f t="shared" si="7"/>
        <v>1.9668005648846725E-2</v>
      </c>
      <c r="K53">
        <f t="shared" si="7"/>
        <v>2.7131384825205482E-2</v>
      </c>
      <c r="L53">
        <f t="shared" si="7"/>
        <v>3.6267963038767871E-2</v>
      </c>
      <c r="M53">
        <f t="shared" si="8"/>
        <v>4.6980099657259661E-2</v>
      </c>
      <c r="N53">
        <f t="shared" si="8"/>
        <v>5.8971784394229676E-2</v>
      </c>
      <c r="O53">
        <f t="shared" si="8"/>
        <v>7.1732203275855E-2</v>
      </c>
      <c r="P53">
        <f t="shared" si="8"/>
        <v>8.4551951955653348E-2</v>
      </c>
      <c r="Q53">
        <f t="shared" si="8"/>
        <v>9.6576768989501849E-2</v>
      </c>
      <c r="R53">
        <f t="shared" si="8"/>
        <v>0.10689595501893155</v>
      </c>
      <c r="S53">
        <f t="shared" si="8"/>
        <v>0.11465405987581767</v>
      </c>
      <c r="T53">
        <f t="shared" si="8"/>
        <v>0.11916731924444834</v>
      </c>
      <c r="U53">
        <f t="shared" si="8"/>
        <v>0.12002299724410996</v>
      </c>
      <c r="V53">
        <f t="shared" si="8"/>
        <v>0.11714164870281424</v>
      </c>
      <c r="W53">
        <f t="shared" si="9"/>
        <v>0.11078928577519813</v>
      </c>
      <c r="X53">
        <f t="shared" si="9"/>
        <v>0.10153686709063721</v>
      </c>
      <c r="Y53">
        <f t="shared" si="9"/>
        <v>9.0175658382375512E-2</v>
      </c>
      <c r="Z53">
        <f t="shared" si="9"/>
        <v>7.760584832285522E-2</v>
      </c>
      <c r="AA53">
        <f t="shared" si="9"/>
        <v>6.4720094916872667E-2</v>
      </c>
      <c r="AB53">
        <f t="shared" si="9"/>
        <v>5.2302615422610076E-2</v>
      </c>
      <c r="AC53">
        <f t="shared" si="9"/>
        <v>4.0958800886006889E-2</v>
      </c>
      <c r="AD53">
        <f t="shared" si="9"/>
        <v>3.1082119582198225E-2</v>
      </c>
      <c r="AE53">
        <f t="shared" si="9"/>
        <v>2.2856703065826531E-2</v>
      </c>
      <c r="AF53">
        <f t="shared" si="9"/>
        <v>1.6287563123618211E-2</v>
      </c>
      <c r="AG53">
        <f t="shared" si="10"/>
        <v>1.1247039062002306E-2</v>
      </c>
      <c r="AH53">
        <f t="shared" si="10"/>
        <v>7.5259245704532357E-3</v>
      </c>
      <c r="AI53">
        <f t="shared" si="10"/>
        <v>4.8800141929332816E-3</v>
      </c>
      <c r="AJ53">
        <f t="shared" si="10"/>
        <v>3.0663510618838923E-3</v>
      </c>
      <c r="AK53">
        <f t="shared" si="10"/>
        <v>1.8670770092706556E-3</v>
      </c>
      <c r="AL53">
        <f t="shared" si="10"/>
        <v>1.1016462321284002E-3</v>
      </c>
      <c r="AM53">
        <f t="shared" si="10"/>
        <v>6.2988554462666576E-4</v>
      </c>
      <c r="AN53">
        <f t="shared" si="10"/>
        <v>3.48996198382377E-4</v>
      </c>
      <c r="AO53">
        <f t="shared" si="10"/>
        <v>1.873783096314659E-4</v>
      </c>
      <c r="AP53">
        <f t="shared" si="10"/>
        <v>9.7489423787638026E-5</v>
      </c>
      <c r="AQ53">
        <f t="shared" si="11"/>
        <v>4.9151327995602362E-5</v>
      </c>
      <c r="AR53">
        <f t="shared" si="11"/>
        <v>2.4013340290736668E-5</v>
      </c>
      <c r="AS53">
        <f t="shared" si="11"/>
        <v>1.1368664763938966E-5</v>
      </c>
      <c r="AT53">
        <f t="shared" si="11"/>
        <v>5.2156196334261813E-6</v>
      </c>
      <c r="AU53">
        <f t="shared" si="11"/>
        <v>2.3186859412528894E-6</v>
      </c>
      <c r="AV53">
        <f t="shared" si="11"/>
        <v>9.9888964771122679E-7</v>
      </c>
      <c r="AW53">
        <f t="shared" si="11"/>
        <v>4.1699674191461921E-7</v>
      </c>
      <c r="AX53">
        <f t="shared" si="11"/>
        <v>1.6868923837362517E-7</v>
      </c>
      <c r="AY53">
        <f t="shared" si="11"/>
        <v>6.6127432242653988E-8</v>
      </c>
      <c r="AZ53">
        <f t="shared" si="11"/>
        <v>2.5119761234706307E-8</v>
      </c>
      <c r="BA53">
        <f t="shared" si="11"/>
        <v>9.2467458508253203E-9</v>
      </c>
    </row>
    <row r="54" spans="1:53" hidden="1" x14ac:dyDescent="0.25">
      <c r="A54" s="1">
        <v>21</v>
      </c>
      <c r="B54" s="2">
        <f t="shared" si="6"/>
        <v>0.83387479414961607</v>
      </c>
      <c r="C54">
        <f t="shared" ref="C54:L63" si="12">SQRT($I$4*$J$4-$K$4^2)/PI()*EXP(-($I$4*((C$33-$C$4)^2)+2*$K$4*(C$33-$C$4)*($B54-$C$5)+$J$4*(($B54-$C$5)^2)))</f>
        <v>6.7902569578348821E-4</v>
      </c>
      <c r="D54">
        <f t="shared" si="12"/>
        <v>1.1740397019757336E-3</v>
      </c>
      <c r="E54">
        <f t="shared" si="12"/>
        <v>1.9670659640727214E-3</v>
      </c>
      <c r="F54">
        <f t="shared" si="12"/>
        <v>3.1937037660501248E-3</v>
      </c>
      <c r="G54">
        <f t="shared" si="12"/>
        <v>5.0246972899849951E-3</v>
      </c>
      <c r="H54">
        <f t="shared" si="12"/>
        <v>7.6606344965098596E-3</v>
      </c>
      <c r="I54">
        <f t="shared" si="12"/>
        <v>1.1317725248250109E-2</v>
      </c>
      <c r="J54">
        <f t="shared" si="12"/>
        <v>1.6202913656078406E-2</v>
      </c>
      <c r="K54">
        <f t="shared" si="12"/>
        <v>2.2478465197494975E-2</v>
      </c>
      <c r="L54">
        <f t="shared" si="12"/>
        <v>3.0218976994236382E-2</v>
      </c>
      <c r="M54">
        <f t="shared" ref="M54:V63" si="13">SQRT($I$4*$J$4-$K$4^2)/PI()*EXP(-($I$4*((M$33-$C$4)^2)+2*$K$4*(M$33-$C$4)*($B54-$C$5)+$J$4*(($B54-$C$5)^2)))</f>
        <v>3.9367009714808179E-2</v>
      </c>
      <c r="N54">
        <f t="shared" si="13"/>
        <v>4.9696369473252809E-2</v>
      </c>
      <c r="O54">
        <f t="shared" si="13"/>
        <v>6.0793404418004952E-2</v>
      </c>
      <c r="P54">
        <f t="shared" si="13"/>
        <v>7.2065571022472394E-2</v>
      </c>
      <c r="Q54">
        <f t="shared" si="13"/>
        <v>8.2782543502397721E-2</v>
      </c>
      <c r="R54">
        <f t="shared" si="13"/>
        <v>9.2148711295481009E-2</v>
      </c>
      <c r="S54">
        <f t="shared" si="13"/>
        <v>9.9398385890843793E-2</v>
      </c>
      <c r="T54">
        <f t="shared" si="13"/>
        <v>0.10389842502635188</v>
      </c>
      <c r="U54">
        <f t="shared" si="13"/>
        <v>0.10523935133186405</v>
      </c>
      <c r="V54">
        <f t="shared" si="13"/>
        <v>0.1032968140622299</v>
      </c>
      <c r="W54">
        <f t="shared" ref="W54:AF63" si="14">SQRT($I$4*$J$4-$K$4^2)/PI()*EXP(-($I$4*((W$33-$C$4)^2)+2*$K$4*(W$33-$C$4)*($B54-$C$5)+$J$4*(($B54-$C$5)^2)))</f>
        <v>9.8250610475750622E-2</v>
      </c>
      <c r="X54">
        <f t="shared" si="14"/>
        <v>9.0557235112316156E-2</v>
      </c>
      <c r="Y54">
        <f t="shared" si="14"/>
        <v>8.0881764466392544E-2</v>
      </c>
      <c r="Z54">
        <f t="shared" si="14"/>
        <v>7.0003160165887784E-2</v>
      </c>
      <c r="AA54">
        <f t="shared" si="14"/>
        <v>5.8711643943631764E-2</v>
      </c>
      <c r="AB54">
        <f t="shared" si="14"/>
        <v>4.7716700115370297E-2</v>
      </c>
      <c r="AC54">
        <f t="shared" si="14"/>
        <v>3.757994406419788E-2</v>
      </c>
      <c r="AD54">
        <f t="shared" si="14"/>
        <v>2.8680150285499039E-2</v>
      </c>
      <c r="AE54">
        <f t="shared" si="14"/>
        <v>2.1210274163588692E-2</v>
      </c>
      <c r="AF54">
        <f t="shared" si="14"/>
        <v>1.5200249194096465E-2</v>
      </c>
      <c r="AG54">
        <f t="shared" ref="AG54:AP63" si="15">SQRT($I$4*$J$4-$K$4^2)/PI()*EXP(-($I$4*((AG$33-$C$4)^2)+2*$K$4*(AG$33-$C$4)*($B54-$C$5)+$J$4*(($B54-$C$5)^2)))</f>
        <v>1.0555886200958538E-2</v>
      </c>
      <c r="AH54">
        <f t="shared" si="15"/>
        <v>7.1035960565693518E-3</v>
      </c>
      <c r="AI54">
        <f t="shared" si="15"/>
        <v>4.6323501719203594E-3</v>
      </c>
      <c r="AJ54">
        <f t="shared" si="15"/>
        <v>2.9272786926143302E-3</v>
      </c>
      <c r="AK54">
        <f t="shared" si="15"/>
        <v>1.7925295665432728E-3</v>
      </c>
      <c r="AL54">
        <f t="shared" si="15"/>
        <v>1.0636730361731101E-3</v>
      </c>
      <c r="AM54">
        <f t="shared" si="15"/>
        <v>6.1163106964011048E-4</v>
      </c>
      <c r="AN54">
        <f t="shared" si="15"/>
        <v>3.4080855912505908E-4</v>
      </c>
      <c r="AO54">
        <f t="shared" si="15"/>
        <v>1.8402253705746021E-4</v>
      </c>
      <c r="AP54">
        <f t="shared" si="15"/>
        <v>9.6287763798580788E-5</v>
      </c>
      <c r="AQ54">
        <f t="shared" ref="AQ54:BA63" si="16">SQRT($I$4*$J$4-$K$4^2)/PI()*EXP(-($I$4*((AQ$33-$C$4)^2)+2*$K$4*(AQ$33-$C$4)*($B54-$C$5)+$J$4*(($B54-$C$5)^2)))</f>
        <v>4.8821458970720613E-5</v>
      </c>
      <c r="AR54">
        <f t="shared" si="16"/>
        <v>2.3987775337294495E-5</v>
      </c>
      <c r="AS54">
        <f t="shared" si="16"/>
        <v>1.1421121663651931E-5</v>
      </c>
      <c r="AT54">
        <f t="shared" si="16"/>
        <v>5.2694720972015261E-6</v>
      </c>
      <c r="AU54">
        <f t="shared" si="16"/>
        <v>2.3559443439472956E-6</v>
      </c>
      <c r="AV54">
        <f t="shared" si="16"/>
        <v>1.0207103302761207E-6</v>
      </c>
      <c r="AW54">
        <f t="shared" si="16"/>
        <v>4.2852835111220019E-7</v>
      </c>
      <c r="AX54">
        <f t="shared" si="16"/>
        <v>1.7433965233297415E-7</v>
      </c>
      <c r="AY54">
        <f t="shared" si="16"/>
        <v>6.8730951694510282E-8</v>
      </c>
      <c r="AZ54">
        <f t="shared" si="16"/>
        <v>2.6257181458193764E-8</v>
      </c>
      <c r="BA54">
        <f t="shared" si="16"/>
        <v>9.7203839493168641E-9</v>
      </c>
    </row>
    <row r="55" spans="1:53" hidden="1" x14ac:dyDescent="0.25">
      <c r="A55" s="1">
        <v>22</v>
      </c>
      <c r="B55" s="2">
        <f t="shared" si="6"/>
        <v>1.0250614620750138</v>
      </c>
      <c r="C55">
        <f t="shared" si="12"/>
        <v>5.1810647643587789E-4</v>
      </c>
      <c r="D55">
        <f t="shared" si="12"/>
        <v>9.0090188474227018E-4</v>
      </c>
      <c r="E55">
        <f t="shared" si="12"/>
        <v>1.5180131580332199E-3</v>
      </c>
      <c r="F55">
        <f t="shared" si="12"/>
        <v>2.4786382229816267E-3</v>
      </c>
      <c r="G55">
        <f t="shared" si="12"/>
        <v>3.9218440068175707E-3</v>
      </c>
      <c r="H55">
        <f t="shared" si="12"/>
        <v>6.0132194604133578E-3</v>
      </c>
      <c r="I55">
        <f t="shared" si="12"/>
        <v>8.9343581770804648E-3</v>
      </c>
      <c r="J55">
        <f t="shared" si="12"/>
        <v>1.286350235633205E-2</v>
      </c>
      <c r="K55">
        <f t="shared" si="12"/>
        <v>1.7947115908482244E-2</v>
      </c>
      <c r="L55">
        <f t="shared" si="12"/>
        <v>2.42644063841671E-2</v>
      </c>
      <c r="M55">
        <f t="shared" si="13"/>
        <v>3.1789539767777077E-2</v>
      </c>
      <c r="N55">
        <f t="shared" si="13"/>
        <v>4.0358812203250306E-2</v>
      </c>
      <c r="O55">
        <f t="shared" si="13"/>
        <v>4.9651466213257903E-2</v>
      </c>
      <c r="P55">
        <f t="shared" si="13"/>
        <v>5.9192317745291476E-2</v>
      </c>
      <c r="Q55">
        <f t="shared" si="13"/>
        <v>6.8381430158136081E-2</v>
      </c>
      <c r="R55">
        <f t="shared" si="13"/>
        <v>7.6550949113441527E-2</v>
      </c>
      <c r="S55">
        <f t="shared" si="13"/>
        <v>8.3042907412707978E-2</v>
      </c>
      <c r="T55">
        <f t="shared" si="13"/>
        <v>8.7295946502185806E-2</v>
      </c>
      <c r="U55">
        <f t="shared" si="13"/>
        <v>8.8925266743849304E-2</v>
      </c>
      <c r="V55">
        <f t="shared" si="13"/>
        <v>8.7780053487353613E-2</v>
      </c>
      <c r="W55">
        <f t="shared" si="14"/>
        <v>8.3966504073855197E-2</v>
      </c>
      <c r="X55">
        <f t="shared" si="14"/>
        <v>7.7831583903359675E-2</v>
      </c>
      <c r="Y55">
        <f t="shared" si="14"/>
        <v>6.9910954481553517E-2</v>
      </c>
      <c r="Z55">
        <f t="shared" si="14"/>
        <v>6.0851902471416128E-2</v>
      </c>
      <c r="AA55">
        <f t="shared" si="14"/>
        <v>5.1326618816351817E-2</v>
      </c>
      <c r="AB55">
        <f t="shared" si="14"/>
        <v>4.195181133986952E-2</v>
      </c>
      <c r="AC55">
        <f t="shared" si="14"/>
        <v>3.3227551848431999E-2</v>
      </c>
      <c r="AD55">
        <f t="shared" si="14"/>
        <v>2.5502663342083096E-2</v>
      </c>
      <c r="AE55">
        <f t="shared" si="14"/>
        <v>1.8967596291214472E-2</v>
      </c>
      <c r="AF55">
        <f t="shared" si="14"/>
        <v>1.3670318187557866E-2</v>
      </c>
      <c r="AG55">
        <f t="shared" si="15"/>
        <v>9.5473867407261052E-3</v>
      </c>
      <c r="AH55">
        <f t="shared" si="15"/>
        <v>6.4614497779248263E-3</v>
      </c>
      <c r="AI55">
        <f t="shared" si="15"/>
        <v>4.237551576747608E-3</v>
      </c>
      <c r="AJ55">
        <f t="shared" si="15"/>
        <v>2.693020053724455E-3</v>
      </c>
      <c r="AK55">
        <f t="shared" si="15"/>
        <v>1.6584551976671338E-3</v>
      </c>
      <c r="AL55">
        <f t="shared" si="15"/>
        <v>9.8970887843585677E-4</v>
      </c>
      <c r="AM55">
        <f t="shared" si="15"/>
        <v>5.7233559262039578E-4</v>
      </c>
      <c r="AN55">
        <f t="shared" si="15"/>
        <v>3.2072558763198317E-4</v>
      </c>
      <c r="AO55">
        <f t="shared" si="15"/>
        <v>1.7416305350407334E-4</v>
      </c>
      <c r="AP55">
        <f t="shared" si="15"/>
        <v>9.1646950214952576E-5</v>
      </c>
      <c r="AQ55">
        <f t="shared" si="16"/>
        <v>4.6732559796751609E-5</v>
      </c>
      <c r="AR55">
        <f t="shared" si="16"/>
        <v>2.3091954310207405E-5</v>
      </c>
      <c r="AS55">
        <f t="shared" si="16"/>
        <v>1.1057103500220197E-5</v>
      </c>
      <c r="AT55">
        <f t="shared" si="16"/>
        <v>5.1305228508328061E-6</v>
      </c>
      <c r="AU55">
        <f t="shared" si="16"/>
        <v>2.3068610898565998E-6</v>
      </c>
      <c r="AV55">
        <f t="shared" si="16"/>
        <v>1.0051267411860758E-6</v>
      </c>
      <c r="AW55">
        <f t="shared" si="16"/>
        <v>4.243847576468736E-7</v>
      </c>
      <c r="AX55">
        <f t="shared" si="16"/>
        <v>1.7363540850491044E-7</v>
      </c>
      <c r="AY55">
        <f t="shared" si="16"/>
        <v>6.8842459087815809E-8</v>
      </c>
      <c r="AZ55">
        <f t="shared" si="16"/>
        <v>2.6449290297652616E-8</v>
      </c>
      <c r="BA55">
        <f t="shared" si="16"/>
        <v>9.8471655099652287E-9</v>
      </c>
    </row>
    <row r="56" spans="1:53" hidden="1" x14ac:dyDescent="0.25">
      <c r="A56" s="1">
        <v>23</v>
      </c>
      <c r="B56" s="2">
        <f t="shared" si="6"/>
        <v>1.2162481300004115</v>
      </c>
      <c r="C56">
        <f t="shared" si="12"/>
        <v>3.8096506518417586E-4</v>
      </c>
      <c r="D56">
        <f t="shared" si="12"/>
        <v>6.6620137828386913E-4</v>
      </c>
      <c r="E56">
        <f t="shared" si="12"/>
        <v>1.1289259797714148E-3</v>
      </c>
      <c r="F56">
        <f t="shared" si="12"/>
        <v>1.8538089487151767E-3</v>
      </c>
      <c r="G56">
        <f t="shared" si="12"/>
        <v>2.9498779469003798E-3</v>
      </c>
      <c r="H56">
        <f t="shared" si="12"/>
        <v>4.5486517302775233E-3</v>
      </c>
      <c r="I56">
        <f t="shared" si="12"/>
        <v>6.7967436676964928E-3</v>
      </c>
      <c r="J56">
        <f t="shared" si="12"/>
        <v>9.8414403041466869E-3</v>
      </c>
      <c r="K56">
        <f t="shared" si="12"/>
        <v>1.3808801917421181E-2</v>
      </c>
      <c r="L56">
        <f t="shared" si="12"/>
        <v>1.8775560181099167E-2</v>
      </c>
      <c r="M56">
        <f t="shared" si="13"/>
        <v>2.4738272717705633E-2</v>
      </c>
      <c r="N56">
        <f t="shared" si="13"/>
        <v>3.1585329267530549E-2</v>
      </c>
      <c r="O56">
        <f t="shared" si="13"/>
        <v>3.9078781210757425E-2</v>
      </c>
      <c r="P56">
        <f t="shared" si="13"/>
        <v>4.6852867781238497E-2</v>
      </c>
      <c r="Q56">
        <f t="shared" si="13"/>
        <v>5.4434083168569965E-2</v>
      </c>
      <c r="R56">
        <f t="shared" si="13"/>
        <v>6.1283733130596485E-2</v>
      </c>
      <c r="S56">
        <f t="shared" si="13"/>
        <v>6.6858877209525713E-2</v>
      </c>
      <c r="T56">
        <f t="shared" si="13"/>
        <v>7.0682599213592739E-2</v>
      </c>
      <c r="U56">
        <f t="shared" si="13"/>
        <v>7.2411160872718663E-2</v>
      </c>
      <c r="V56">
        <f t="shared" si="13"/>
        <v>7.1884966499451891E-2</v>
      </c>
      <c r="W56">
        <f t="shared" si="14"/>
        <v>6.9152869435341768E-2</v>
      </c>
      <c r="X56">
        <f t="shared" si="14"/>
        <v>6.4464690568583116E-2</v>
      </c>
      <c r="Y56">
        <f t="shared" si="14"/>
        <v>5.823353649643951E-2</v>
      </c>
      <c r="Z56">
        <f t="shared" si="14"/>
        <v>5.0975793470156641E-2</v>
      </c>
      <c r="AA56">
        <f t="shared" si="14"/>
        <v>4.3240866667377011E-2</v>
      </c>
      <c r="AB56">
        <f t="shared" si="14"/>
        <v>3.5543840487925214E-2</v>
      </c>
      <c r="AC56">
        <f t="shared" si="14"/>
        <v>2.8312217028144692E-2</v>
      </c>
      <c r="AD56">
        <f t="shared" si="14"/>
        <v>2.185359913032036E-2</v>
      </c>
      <c r="AE56">
        <f t="shared" si="14"/>
        <v>1.6346005176558046E-2</v>
      </c>
      <c r="AF56">
        <f t="shared" si="14"/>
        <v>1.1847858479784647E-2</v>
      </c>
      <c r="AG56">
        <f t="shared" si="15"/>
        <v>8.3216155884841998E-3</v>
      </c>
      <c r="AH56">
        <f t="shared" si="15"/>
        <v>5.6638925805895437E-3</v>
      </c>
      <c r="AI56">
        <f t="shared" si="15"/>
        <v>3.7356134664117578E-3</v>
      </c>
      <c r="AJ56">
        <f t="shared" si="15"/>
        <v>2.3875277203627785E-3</v>
      </c>
      <c r="AK56">
        <f t="shared" si="15"/>
        <v>1.4786809543334224E-3</v>
      </c>
      <c r="AL56">
        <f t="shared" si="15"/>
        <v>8.8744225127898818E-4</v>
      </c>
      <c r="AM56">
        <f t="shared" si="15"/>
        <v>5.1611358477778426E-4</v>
      </c>
      <c r="AN56">
        <f t="shared" si="15"/>
        <v>2.9086404885000612E-4</v>
      </c>
      <c r="AO56">
        <f t="shared" si="15"/>
        <v>1.5884529889093518E-4</v>
      </c>
      <c r="AP56">
        <f t="shared" si="15"/>
        <v>8.4061716384134624E-5</v>
      </c>
      <c r="AQ56">
        <f t="shared" si="16"/>
        <v>4.3108380389712779E-5</v>
      </c>
      <c r="AR56">
        <f t="shared" si="16"/>
        <v>2.1422232364036784E-5</v>
      </c>
      <c r="AS56">
        <f t="shared" si="16"/>
        <v>1.0315904456630764E-5</v>
      </c>
      <c r="AT56">
        <f t="shared" si="16"/>
        <v>4.8138157408072363E-6</v>
      </c>
      <c r="AU56">
        <f t="shared" si="16"/>
        <v>2.17676316810692E-6</v>
      </c>
      <c r="AV56">
        <f t="shared" si="16"/>
        <v>9.538332644055914E-7</v>
      </c>
      <c r="AW56">
        <f t="shared" si="16"/>
        <v>4.0501705741437432E-7</v>
      </c>
      <c r="AX56">
        <f t="shared" si="16"/>
        <v>1.6665322795785292E-7</v>
      </c>
      <c r="AY56">
        <f t="shared" si="16"/>
        <v>6.6449805210888344E-8</v>
      </c>
      <c r="AZ56">
        <f t="shared" si="16"/>
        <v>2.5675166017676691E-8</v>
      </c>
      <c r="BA56">
        <f t="shared" si="16"/>
        <v>9.6132973302563612E-9</v>
      </c>
    </row>
    <row r="57" spans="1:53" hidden="1" x14ac:dyDescent="0.25">
      <c r="A57" s="1">
        <v>24</v>
      </c>
      <c r="B57" s="2">
        <f t="shared" si="6"/>
        <v>1.4074347979258093</v>
      </c>
      <c r="C57">
        <f t="shared" si="12"/>
        <v>2.6995079012362319E-4</v>
      </c>
      <c r="D57">
        <f t="shared" si="12"/>
        <v>4.7475208157019195E-4</v>
      </c>
      <c r="E57">
        <f t="shared" si="12"/>
        <v>8.0907488161370566E-4</v>
      </c>
      <c r="F57">
        <f t="shared" si="12"/>
        <v>1.3361343378278192E-3</v>
      </c>
      <c r="G57">
        <f t="shared" si="12"/>
        <v>2.1382136527397307E-3</v>
      </c>
      <c r="H57">
        <f t="shared" si="12"/>
        <v>3.3158252727891278E-3</v>
      </c>
      <c r="I57">
        <f t="shared" si="12"/>
        <v>4.9827803442145206E-3</v>
      </c>
      <c r="J57">
        <f t="shared" si="12"/>
        <v>7.2559020928263124E-3</v>
      </c>
      <c r="K57">
        <f t="shared" si="12"/>
        <v>1.0238837524711568E-2</v>
      </c>
      <c r="L57">
        <f t="shared" si="12"/>
        <v>1.4000690495576828E-2</v>
      </c>
      <c r="M57">
        <f t="shared" si="13"/>
        <v>1.8551875654956418E-2</v>
      </c>
      <c r="N57">
        <f t="shared" si="13"/>
        <v>2.3821316567243542E-2</v>
      </c>
      <c r="O57">
        <f t="shared" si="13"/>
        <v>2.9640345561365154E-2</v>
      </c>
      <c r="P57">
        <f t="shared" si="13"/>
        <v>3.5738829995133281E-2</v>
      </c>
      <c r="Q57">
        <f t="shared" si="13"/>
        <v>4.1757737976025715E-2</v>
      </c>
      <c r="R57">
        <f t="shared" si="13"/>
        <v>4.7279531579916122E-2</v>
      </c>
      <c r="S57">
        <f t="shared" si="13"/>
        <v>5.1873903713285166E-2</v>
      </c>
      <c r="T57">
        <f t="shared" si="13"/>
        <v>5.5152380732186743E-2</v>
      </c>
      <c r="U57">
        <f t="shared" si="13"/>
        <v>5.6822346329141564E-2</v>
      </c>
      <c r="V57">
        <f t="shared" si="13"/>
        <v>5.6730110252516307E-2</v>
      </c>
      <c r="W57">
        <f t="shared" si="14"/>
        <v>5.4884240473313112E-2</v>
      </c>
      <c r="X57">
        <f t="shared" si="14"/>
        <v>5.1454250386509526E-2</v>
      </c>
      <c r="Y57">
        <f t="shared" si="14"/>
        <v>4.6744919767350804E-2</v>
      </c>
      <c r="Z57">
        <f t="shared" si="14"/>
        <v>4.1151640029432786E-2</v>
      </c>
      <c r="AA57">
        <f t="shared" si="14"/>
        <v>3.5105845999769777E-2</v>
      </c>
      <c r="AB57">
        <f t="shared" si="14"/>
        <v>2.9020928611262115E-2</v>
      </c>
      <c r="AC57">
        <f t="shared" si="14"/>
        <v>2.324784666504975E-2</v>
      </c>
      <c r="AD57">
        <f t="shared" si="14"/>
        <v>1.8046530766494307E-2</v>
      </c>
      <c r="AE57">
        <f t="shared" si="14"/>
        <v>1.3575139030201688E-2</v>
      </c>
      <c r="AF57">
        <f t="shared" si="14"/>
        <v>9.895424102168331E-3</v>
      </c>
      <c r="AG57">
        <f t="shared" si="15"/>
        <v>6.9897896160860552E-3</v>
      </c>
      <c r="AH57">
        <f t="shared" si="15"/>
        <v>4.7844647855510092E-3</v>
      </c>
      <c r="AI57">
        <f t="shared" si="15"/>
        <v>3.173526921126356E-3</v>
      </c>
      <c r="AJ57">
        <f t="shared" si="15"/>
        <v>2.0398140426667105E-3</v>
      </c>
      <c r="AK57">
        <f t="shared" si="15"/>
        <v>1.2705113052962395E-3</v>
      </c>
      <c r="AL57">
        <f t="shared" si="15"/>
        <v>7.6684229197639109E-4</v>
      </c>
      <c r="AM57">
        <f t="shared" si="15"/>
        <v>4.4851104806836566E-4</v>
      </c>
      <c r="AN57">
        <f t="shared" si="15"/>
        <v>2.5420249001840202E-4</v>
      </c>
      <c r="AO57">
        <f t="shared" si="15"/>
        <v>1.3961305210978333E-4</v>
      </c>
      <c r="AP57">
        <f t="shared" si="15"/>
        <v>7.4303934106015855E-5</v>
      </c>
      <c r="AQ57">
        <f t="shared" si="16"/>
        <v>3.8321028965289166E-5</v>
      </c>
      <c r="AR57">
        <f t="shared" si="16"/>
        <v>1.9151468535886694E-5</v>
      </c>
      <c r="AS57">
        <f t="shared" si="16"/>
        <v>9.2748430006386347E-6</v>
      </c>
      <c r="AT57">
        <f t="shared" si="16"/>
        <v>4.3526186493745205E-6</v>
      </c>
      <c r="AU57">
        <f t="shared" si="16"/>
        <v>1.979403055379845E-6</v>
      </c>
      <c r="AV57">
        <f t="shared" si="16"/>
        <v>8.7228302339460283E-7</v>
      </c>
      <c r="AW57">
        <f t="shared" si="16"/>
        <v>3.7249476210407471E-7</v>
      </c>
      <c r="AX57">
        <f t="shared" si="16"/>
        <v>1.5414253121265395E-7</v>
      </c>
      <c r="AY57">
        <f t="shared" si="16"/>
        <v>6.1810800575783734E-8</v>
      </c>
      <c r="AZ57">
        <f t="shared" si="16"/>
        <v>2.4018496437897998E-8</v>
      </c>
      <c r="BA57">
        <f t="shared" si="16"/>
        <v>9.0441307341860215E-9</v>
      </c>
    </row>
    <row r="58" spans="1:53" hidden="1" x14ac:dyDescent="0.25">
      <c r="A58" s="1">
        <v>25</v>
      </c>
      <c r="B58" s="2">
        <f t="shared" si="6"/>
        <v>1.598621465851207</v>
      </c>
      <c r="C58">
        <f t="shared" si="12"/>
        <v>1.8433906186206427E-4</v>
      </c>
      <c r="D58">
        <f t="shared" si="12"/>
        <v>3.2603299064932031E-4</v>
      </c>
      <c r="E58">
        <f t="shared" si="12"/>
        <v>5.5878570660077714E-4</v>
      </c>
      <c r="F58">
        <f t="shared" si="12"/>
        <v>9.2804406051238562E-4</v>
      </c>
      <c r="G58">
        <f t="shared" si="12"/>
        <v>1.4935902458644605E-3</v>
      </c>
      <c r="H58">
        <f t="shared" si="12"/>
        <v>2.3293454890097411E-3</v>
      </c>
      <c r="I58">
        <f t="shared" si="12"/>
        <v>3.5202695036054264E-3</v>
      </c>
      <c r="J58">
        <f t="shared" si="12"/>
        <v>5.1553420425517488E-3</v>
      </c>
      <c r="K58">
        <f t="shared" si="12"/>
        <v>7.316082975669767E-3</v>
      </c>
      <c r="L58">
        <f t="shared" si="12"/>
        <v>1.0060957770719655E-2</v>
      </c>
      <c r="M58">
        <f t="shared" si="13"/>
        <v>1.3407246554062948E-2</v>
      </c>
      <c r="N58">
        <f t="shared" si="13"/>
        <v>1.7313283156612222E-2</v>
      </c>
      <c r="O58">
        <f t="shared" si="13"/>
        <v>2.1665007015246186E-2</v>
      </c>
      <c r="P58">
        <f t="shared" si="13"/>
        <v>2.627107245452066E-2</v>
      </c>
      <c r="Q58">
        <f t="shared" si="13"/>
        <v>3.0869979175478963E-2</v>
      </c>
      <c r="R58">
        <f t="shared" si="13"/>
        <v>3.5150737138677335E-2</v>
      </c>
      <c r="S58">
        <f t="shared" si="13"/>
        <v>3.8785741934837324E-2</v>
      </c>
      <c r="T58">
        <f t="shared" si="13"/>
        <v>4.147146107330147E-2</v>
      </c>
      <c r="U58">
        <f t="shared" si="13"/>
        <v>4.2970077302813554E-2</v>
      </c>
      <c r="V58">
        <f t="shared" si="13"/>
        <v>4.3144207886258529E-2</v>
      </c>
      <c r="W58">
        <f t="shared" si="14"/>
        <v>4.1977679842656233E-2</v>
      </c>
      <c r="X58">
        <f t="shared" si="14"/>
        <v>3.9578007647099296E-2</v>
      </c>
      <c r="Y58">
        <f t="shared" si="14"/>
        <v>3.6160047421658265E-2</v>
      </c>
      <c r="Z58">
        <f t="shared" si="14"/>
        <v>3.2014271282710532E-2</v>
      </c>
      <c r="AA58">
        <f t="shared" si="14"/>
        <v>2.7466151817200028E-2</v>
      </c>
      <c r="AB58">
        <f t="shared" si="14"/>
        <v>2.2834503757102206E-2</v>
      </c>
      <c r="AC58">
        <f t="shared" si="14"/>
        <v>1.8396063738499436E-2</v>
      </c>
      <c r="AD58">
        <f t="shared" si="14"/>
        <v>1.4361433762325944E-2</v>
      </c>
      <c r="AE58">
        <f t="shared" si="14"/>
        <v>1.0864512889716653E-2</v>
      </c>
      <c r="AF58">
        <f t="shared" si="14"/>
        <v>7.9645691200241845E-3</v>
      </c>
      <c r="AG58">
        <f t="shared" si="15"/>
        <v>5.6578818985953769E-3</v>
      </c>
      <c r="AH58">
        <f t="shared" si="15"/>
        <v>3.8947988777455127E-3</v>
      </c>
      <c r="AI58">
        <f t="shared" si="15"/>
        <v>2.5980993883461725E-3</v>
      </c>
      <c r="AJ58">
        <f t="shared" si="15"/>
        <v>1.679446026766407E-3</v>
      </c>
      <c r="AK58">
        <f t="shared" si="15"/>
        <v>1.0520004072983333E-3</v>
      </c>
      <c r="AL58">
        <f t="shared" si="15"/>
        <v>6.3856532316206493E-4</v>
      </c>
      <c r="AM58">
        <f t="shared" si="15"/>
        <v>3.756075555371655E-4</v>
      </c>
      <c r="AN58">
        <f t="shared" si="15"/>
        <v>2.1409320063782669E-4</v>
      </c>
      <c r="AO58">
        <f t="shared" si="15"/>
        <v>1.1825268106388178E-4</v>
      </c>
      <c r="AP58">
        <f t="shared" si="15"/>
        <v>6.3293437531736555E-5</v>
      </c>
      <c r="AQ58">
        <f t="shared" si="16"/>
        <v>3.282811428886474E-5</v>
      </c>
      <c r="AR58">
        <f t="shared" si="16"/>
        <v>1.6499574945629408E-5</v>
      </c>
      <c r="AS58">
        <f t="shared" si="16"/>
        <v>8.0359854535018427E-6</v>
      </c>
      <c r="AT58">
        <f t="shared" si="16"/>
        <v>3.7926703257875957E-6</v>
      </c>
      <c r="AU58">
        <f t="shared" si="16"/>
        <v>1.7345651304272068E-6</v>
      </c>
      <c r="AV58">
        <f t="shared" si="16"/>
        <v>7.6873330245962405E-7</v>
      </c>
      <c r="AW58">
        <f t="shared" si="16"/>
        <v>3.3014167150324545E-7</v>
      </c>
      <c r="AX58">
        <f t="shared" si="16"/>
        <v>1.3739298592657195E-7</v>
      </c>
      <c r="AY58">
        <f t="shared" si="16"/>
        <v>5.5407473118676525E-8</v>
      </c>
      <c r="AZ58">
        <f t="shared" si="16"/>
        <v>2.1652681761238842E-8</v>
      </c>
      <c r="BA58">
        <f t="shared" si="16"/>
        <v>8.1996366425294968E-9</v>
      </c>
    </row>
    <row r="59" spans="1:53" hidden="1" x14ac:dyDescent="0.25">
      <c r="A59" s="1">
        <v>26</v>
      </c>
      <c r="B59" s="2">
        <f t="shared" si="6"/>
        <v>1.7898081337766039</v>
      </c>
      <c r="C59">
        <f t="shared" si="12"/>
        <v>1.2130632959033505E-4</v>
      </c>
      <c r="D59">
        <f t="shared" si="12"/>
        <v>2.1576924265329442E-4</v>
      </c>
      <c r="E59">
        <f t="shared" si="12"/>
        <v>3.7190770693395066E-4</v>
      </c>
      <c r="F59">
        <f t="shared" si="12"/>
        <v>6.2118417788865009E-4</v>
      </c>
      <c r="G59">
        <f t="shared" si="12"/>
        <v>1.0054145330605419E-3</v>
      </c>
      <c r="H59">
        <f t="shared" si="12"/>
        <v>1.5769194066706691E-3</v>
      </c>
      <c r="I59">
        <f t="shared" si="12"/>
        <v>2.3966984964058856E-3</v>
      </c>
      <c r="J59">
        <f t="shared" si="12"/>
        <v>3.5298550755140682E-3</v>
      </c>
      <c r="K59">
        <f t="shared" si="12"/>
        <v>5.0377882918363846E-3</v>
      </c>
      <c r="L59">
        <f t="shared" si="12"/>
        <v>6.9672680054101693E-3</v>
      </c>
      <c r="M59">
        <f t="shared" si="13"/>
        <v>9.3373725405162637E-3</v>
      </c>
      <c r="N59">
        <f t="shared" si="13"/>
        <v>1.2126247348217377E-2</v>
      </c>
      <c r="O59">
        <f t="shared" si="13"/>
        <v>1.5260463512213725E-2</v>
      </c>
      <c r="P59">
        <f t="shared" si="13"/>
        <v>1.8610095130071044E-2</v>
      </c>
      <c r="Q59">
        <f t="shared" si="13"/>
        <v>2.1992217783998898E-2</v>
      </c>
      <c r="R59">
        <f t="shared" si="13"/>
        <v>2.5184250363208732E-2</v>
      </c>
      <c r="S59">
        <f t="shared" si="13"/>
        <v>2.7946575283502348E-2</v>
      </c>
      <c r="T59">
        <f t="shared" si="13"/>
        <v>3.0051608860843383E-2</v>
      </c>
      <c r="U59">
        <f t="shared" si="13"/>
        <v>3.1314568126538662E-2</v>
      </c>
      <c r="V59">
        <f t="shared" si="13"/>
        <v>3.1620205752832108E-2</v>
      </c>
      <c r="W59">
        <f t="shared" si="14"/>
        <v>3.094015768411473E-2</v>
      </c>
      <c r="X59">
        <f t="shared" si="14"/>
        <v>2.9337285008525893E-2</v>
      </c>
      <c r="Y59">
        <f t="shared" si="14"/>
        <v>2.6956089111064251E-2</v>
      </c>
      <c r="Z59">
        <f t="shared" si="14"/>
        <v>2.4001225256467574E-2</v>
      </c>
      <c r="AA59">
        <f t="shared" si="14"/>
        <v>2.0708541303077026E-2</v>
      </c>
      <c r="AB59">
        <f t="shared" si="14"/>
        <v>1.7314309254995941E-2</v>
      </c>
      <c r="AC59">
        <f t="shared" si="14"/>
        <v>1.4028149906593264E-2</v>
      </c>
      <c r="AD59">
        <f t="shared" si="14"/>
        <v>1.1013749439593823E-2</v>
      </c>
      <c r="AE59">
        <f t="shared" si="14"/>
        <v>8.3793349750050511E-3</v>
      </c>
      <c r="AF59">
        <f t="shared" si="14"/>
        <v>6.1776525484094329E-3</v>
      </c>
      <c r="AG59">
        <f t="shared" si="15"/>
        <v>4.4134373989146835E-3</v>
      </c>
      <c r="AH59">
        <f t="shared" si="15"/>
        <v>3.0554137542627459E-3</v>
      </c>
      <c r="AI59">
        <f t="shared" si="15"/>
        <v>2.0497583011739578E-3</v>
      </c>
      <c r="AJ59">
        <f t="shared" si="15"/>
        <v>1.3325234010741593E-3</v>
      </c>
      <c r="AK59">
        <f t="shared" si="15"/>
        <v>8.3943408847725082E-4</v>
      </c>
      <c r="AL59">
        <f t="shared" si="15"/>
        <v>5.1243398457040032E-4</v>
      </c>
      <c r="AM59">
        <f t="shared" si="15"/>
        <v>3.0312992598228631E-4</v>
      </c>
      <c r="AN59">
        <f t="shared" si="15"/>
        <v>1.737637852571953E-4</v>
      </c>
      <c r="AO59">
        <f t="shared" si="15"/>
        <v>9.6522661809103798E-5</v>
      </c>
      <c r="AP59">
        <f t="shared" si="15"/>
        <v>5.195637914928202E-5</v>
      </c>
      <c r="AQ59">
        <f t="shared" si="16"/>
        <v>2.7101169405772552E-5</v>
      </c>
      <c r="AR59">
        <f t="shared" si="16"/>
        <v>1.3698617858116034E-5</v>
      </c>
      <c r="AS59">
        <f t="shared" si="16"/>
        <v>6.7097298748739568E-6</v>
      </c>
      <c r="AT59">
        <f t="shared" si="16"/>
        <v>3.1847319751635178E-6</v>
      </c>
      <c r="AU59">
        <f t="shared" si="16"/>
        <v>1.464806661406628E-6</v>
      </c>
      <c r="AV59">
        <f t="shared" si="16"/>
        <v>6.5287086835783407E-7</v>
      </c>
      <c r="AW59">
        <f t="shared" si="16"/>
        <v>2.8197710065406868E-7</v>
      </c>
      <c r="AX59">
        <f t="shared" si="16"/>
        <v>1.1801574630214046E-7</v>
      </c>
      <c r="AY59">
        <f t="shared" si="16"/>
        <v>4.7863630769505463E-8</v>
      </c>
      <c r="AZ59">
        <f t="shared" si="16"/>
        <v>1.8810956894063844E-8</v>
      </c>
      <c r="BA59">
        <f t="shared" si="16"/>
        <v>7.1640020750208953E-9</v>
      </c>
    </row>
    <row r="60" spans="1:53" hidden="1" x14ac:dyDescent="0.25">
      <c r="A60" s="1">
        <v>27</v>
      </c>
      <c r="B60" s="2">
        <f t="shared" si="6"/>
        <v>1.9809948017020016</v>
      </c>
      <c r="C60">
        <f t="shared" si="12"/>
        <v>7.6927721798333279E-5</v>
      </c>
      <c r="D60">
        <f t="shared" si="12"/>
        <v>1.3761026971767095E-4</v>
      </c>
      <c r="E60">
        <f t="shared" si="12"/>
        <v>2.3853844685613933E-4</v>
      </c>
      <c r="F60">
        <f t="shared" si="12"/>
        <v>4.006872234138111E-4</v>
      </c>
      <c r="G60">
        <f t="shared" si="12"/>
        <v>6.5221708008710109E-4</v>
      </c>
      <c r="H60">
        <f t="shared" si="12"/>
        <v>1.0287702747912948E-3</v>
      </c>
      <c r="I60">
        <f t="shared" si="12"/>
        <v>1.5724766776912568E-3</v>
      </c>
      <c r="J60">
        <f t="shared" si="12"/>
        <v>2.3291077721612086E-3</v>
      </c>
      <c r="K60">
        <f t="shared" si="12"/>
        <v>3.342985727746375E-3</v>
      </c>
      <c r="L60">
        <f t="shared" si="12"/>
        <v>4.6496367627587611E-3</v>
      </c>
      <c r="M60">
        <f t="shared" si="13"/>
        <v>6.2667604875544514E-3</v>
      </c>
      <c r="N60">
        <f t="shared" si="13"/>
        <v>8.1847747657772651E-3</v>
      </c>
      <c r="O60">
        <f t="shared" si="13"/>
        <v>1.0358811613668363E-2</v>
      </c>
      <c r="P60">
        <f t="shared" si="13"/>
        <v>1.2704357417487754E-2</v>
      </c>
      <c r="Q60">
        <f t="shared" si="13"/>
        <v>1.5098542925287712E-2</v>
      </c>
      <c r="R60">
        <f t="shared" si="13"/>
        <v>1.7388292562536004E-2</v>
      </c>
      <c r="S60">
        <f t="shared" si="13"/>
        <v>1.9405212615280644E-2</v>
      </c>
      <c r="T60">
        <f t="shared" si="13"/>
        <v>2.098550566578929E-2</v>
      </c>
      <c r="U60">
        <f t="shared" si="13"/>
        <v>2.1991762538115942E-2</v>
      </c>
      <c r="V60">
        <f t="shared" si="13"/>
        <v>2.2332647066055165E-2</v>
      </c>
      <c r="W60">
        <f t="shared" si="14"/>
        <v>2.1976571171664072E-2</v>
      </c>
      <c r="X60">
        <f t="shared" si="14"/>
        <v>2.0956523141343886E-2</v>
      </c>
      <c r="Y60">
        <f t="shared" si="14"/>
        <v>1.936502646274239E-2</v>
      </c>
      <c r="Z60">
        <f t="shared" si="14"/>
        <v>1.7340296710376794E-2</v>
      </c>
      <c r="AA60">
        <f t="shared" si="14"/>
        <v>1.504646641844049E-2</v>
      </c>
      <c r="AB60">
        <f t="shared" si="14"/>
        <v>1.2651793127812103E-2</v>
      </c>
      <c r="AC60">
        <f t="shared" si="14"/>
        <v>1.0308826016867719E-2</v>
      </c>
      <c r="AD60">
        <f t="shared" si="14"/>
        <v>8.1396532475455068E-3</v>
      </c>
      <c r="AE60">
        <f t="shared" si="14"/>
        <v>6.2279076550762194E-3</v>
      </c>
      <c r="AF60">
        <f t="shared" si="14"/>
        <v>4.6176178767194289E-3</v>
      </c>
      <c r="AG60">
        <f t="shared" si="15"/>
        <v>3.3176715089614792E-3</v>
      </c>
      <c r="AH60">
        <f t="shared" si="15"/>
        <v>2.3098742731583986E-3</v>
      </c>
      <c r="AI60">
        <f t="shared" si="15"/>
        <v>1.5584140914756985E-3</v>
      </c>
      <c r="AJ60">
        <f t="shared" si="15"/>
        <v>1.0188657359980538E-3</v>
      </c>
      <c r="AK60">
        <f t="shared" si="15"/>
        <v>6.4549162866659306E-4</v>
      </c>
      <c r="AL60">
        <f t="shared" si="15"/>
        <v>3.9628153573735867E-4</v>
      </c>
      <c r="AM60">
        <f t="shared" si="15"/>
        <v>2.357526735589297E-4</v>
      </c>
      <c r="AN60">
        <f t="shared" si="15"/>
        <v>1.3590923935984672E-4</v>
      </c>
      <c r="AO60">
        <f t="shared" si="15"/>
        <v>7.5924318664276431E-5</v>
      </c>
      <c r="AP60">
        <f t="shared" si="15"/>
        <v>4.1101000220101679E-5</v>
      </c>
      <c r="AQ60">
        <f t="shared" si="16"/>
        <v>2.1560729179578938E-5</v>
      </c>
      <c r="AR60">
        <f t="shared" si="16"/>
        <v>1.0960088583788349E-5</v>
      </c>
      <c r="AS60">
        <f t="shared" si="16"/>
        <v>5.3988871557736538E-6</v>
      </c>
      <c r="AT60">
        <f t="shared" si="16"/>
        <v>2.577116207537729E-6</v>
      </c>
      <c r="AU60">
        <f t="shared" si="16"/>
        <v>1.1920742870530202E-6</v>
      </c>
      <c r="AV60">
        <f t="shared" si="16"/>
        <v>5.3433325583514224E-7</v>
      </c>
      <c r="AW60">
        <f t="shared" si="16"/>
        <v>2.3209225868301038E-7</v>
      </c>
      <c r="AX60">
        <f t="shared" si="16"/>
        <v>9.7689676521966609E-8</v>
      </c>
      <c r="AY60">
        <f t="shared" si="16"/>
        <v>3.9845222302079784E-8</v>
      </c>
      <c r="AZ60">
        <f t="shared" si="16"/>
        <v>1.5748652596841916E-8</v>
      </c>
      <c r="BA60">
        <f t="shared" si="16"/>
        <v>6.0318442333465008E-9</v>
      </c>
    </row>
    <row r="61" spans="1:53" hidden="1" x14ac:dyDescent="0.25">
      <c r="A61" s="1">
        <v>28</v>
      </c>
      <c r="B61" s="2">
        <f t="shared" si="6"/>
        <v>2.1721814696273993</v>
      </c>
      <c r="C61">
        <f t="shared" si="12"/>
        <v>4.701274386292095E-5</v>
      </c>
      <c r="D61">
        <f t="shared" si="12"/>
        <v>8.4575675337686268E-5</v>
      </c>
      <c r="E61">
        <f t="shared" si="12"/>
        <v>1.4743986194672531E-4</v>
      </c>
      <c r="F61">
        <f t="shared" si="12"/>
        <v>2.490714350136132E-4</v>
      </c>
      <c r="G61">
        <f t="shared" si="12"/>
        <v>4.0772983966926962E-4</v>
      </c>
      <c r="H61">
        <f t="shared" si="12"/>
        <v>6.4678603753037453E-4</v>
      </c>
      <c r="I61">
        <f t="shared" si="12"/>
        <v>9.9423338426629431E-4</v>
      </c>
      <c r="J61">
        <f t="shared" si="12"/>
        <v>1.4810018928452769E-3</v>
      </c>
      <c r="K61">
        <f t="shared" si="12"/>
        <v>2.137777252491522E-3</v>
      </c>
      <c r="L61">
        <f t="shared" si="12"/>
        <v>2.9902593404652869E-3</v>
      </c>
      <c r="M61">
        <f t="shared" si="13"/>
        <v>4.0531700590060778E-3</v>
      </c>
      <c r="N61">
        <f t="shared" si="13"/>
        <v>5.3237832089729435E-3</v>
      </c>
      <c r="O61">
        <f t="shared" si="13"/>
        <v>6.776188280035656E-3</v>
      </c>
      <c r="P61">
        <f t="shared" si="13"/>
        <v>8.3577645666260154E-3</v>
      </c>
      <c r="Q61">
        <f t="shared" si="13"/>
        <v>9.9892841687755241E-3</v>
      </c>
      <c r="R61">
        <f t="shared" si="13"/>
        <v>1.1569595323257015E-2</v>
      </c>
      <c r="S61">
        <f t="shared" si="13"/>
        <v>1.2984987489940701E-2</v>
      </c>
      <c r="T61">
        <f t="shared" si="13"/>
        <v>1.4122268640530825E-2</v>
      </c>
      <c r="U61">
        <f t="shared" si="13"/>
        <v>1.4883564975503614E-2</v>
      </c>
      <c r="V61">
        <f t="shared" si="13"/>
        <v>1.5200190575336659E-2</v>
      </c>
      <c r="W61">
        <f t="shared" si="14"/>
        <v>1.5042868686012484E-2</v>
      </c>
      <c r="X61">
        <f t="shared" si="14"/>
        <v>1.4426197114574987E-2</v>
      </c>
      <c r="Y61">
        <f t="shared" si="14"/>
        <v>1.340641396853069E-2</v>
      </c>
      <c r="Z61">
        <f t="shared" si="14"/>
        <v>1.2072937582945174E-2</v>
      </c>
      <c r="AA61">
        <f t="shared" si="14"/>
        <v>1.0535444199235978E-2</v>
      </c>
      <c r="AB61">
        <f t="shared" si="14"/>
        <v>8.9090688088983572E-3</v>
      </c>
      <c r="AC61">
        <f t="shared" si="14"/>
        <v>7.3004787525448181E-3</v>
      </c>
      <c r="AD61">
        <f t="shared" si="14"/>
        <v>5.7970885676990776E-3</v>
      </c>
      <c r="AE61">
        <f t="shared" si="14"/>
        <v>4.4607521749820515E-3</v>
      </c>
      <c r="AF61">
        <f t="shared" si="14"/>
        <v>3.3261805707766965E-3</v>
      </c>
      <c r="AG61">
        <f t="shared" si="15"/>
        <v>2.4033837197014133E-3</v>
      </c>
      <c r="AH61">
        <f t="shared" si="15"/>
        <v>1.6828289462610766E-3</v>
      </c>
      <c r="AI61">
        <f t="shared" si="15"/>
        <v>1.1418167207489875E-3</v>
      </c>
      <c r="AJ61">
        <f t="shared" si="15"/>
        <v>7.5074489803367793E-4</v>
      </c>
      <c r="AK61">
        <f t="shared" si="15"/>
        <v>4.7833035976525986E-4</v>
      </c>
      <c r="AL61">
        <f t="shared" si="15"/>
        <v>2.9532694286373527E-4</v>
      </c>
      <c r="AM61">
        <f t="shared" si="15"/>
        <v>1.766923549496801E-4</v>
      </c>
      <c r="AN61">
        <f t="shared" si="15"/>
        <v>1.0244057664399273E-4</v>
      </c>
      <c r="AO61">
        <f t="shared" si="15"/>
        <v>5.755271766397065E-5</v>
      </c>
      <c r="AP61">
        <f t="shared" si="15"/>
        <v>3.1332801235106146E-5</v>
      </c>
      <c r="AQ61">
        <f t="shared" si="16"/>
        <v>1.6529974266742186E-5</v>
      </c>
      <c r="AR61">
        <f t="shared" si="16"/>
        <v>8.4505445841876701E-6</v>
      </c>
      <c r="AS61">
        <f t="shared" si="16"/>
        <v>4.1863620365861563E-6</v>
      </c>
      <c r="AT61">
        <f t="shared" si="16"/>
        <v>2.009687057137733E-6</v>
      </c>
      <c r="AU61">
        <f t="shared" si="16"/>
        <v>9.3488814747995844E-7</v>
      </c>
      <c r="AV61">
        <f t="shared" si="16"/>
        <v>4.2143484228052733E-7</v>
      </c>
      <c r="AW61">
        <f t="shared" si="16"/>
        <v>1.8409448939620761E-7</v>
      </c>
      <c r="AX61">
        <f t="shared" si="16"/>
        <v>7.7927493096304677E-8</v>
      </c>
      <c r="AY61">
        <f t="shared" si="16"/>
        <v>3.1965403291994983E-8</v>
      </c>
      <c r="AZ61">
        <f t="shared" si="16"/>
        <v>1.270601129167206E-8</v>
      </c>
      <c r="BA61">
        <f t="shared" si="16"/>
        <v>4.8941564921325902E-9</v>
      </c>
    </row>
    <row r="62" spans="1:53" hidden="1" x14ac:dyDescent="0.25">
      <c r="A62" s="1">
        <v>29</v>
      </c>
      <c r="B62" s="2">
        <f t="shared" si="6"/>
        <v>2.3633681375527971</v>
      </c>
      <c r="C62">
        <f t="shared" si="12"/>
        <v>2.7687366318785887E-5</v>
      </c>
      <c r="D62">
        <f t="shared" si="12"/>
        <v>5.0092582479610159E-5</v>
      </c>
      <c r="E62">
        <f t="shared" si="12"/>
        <v>8.7822291212603267E-5</v>
      </c>
      <c r="F62">
        <f t="shared" si="12"/>
        <v>1.4920235250184694E-4</v>
      </c>
      <c r="G62">
        <f t="shared" si="12"/>
        <v>2.456326787165732E-4</v>
      </c>
      <c r="H62">
        <f t="shared" si="12"/>
        <v>3.9186473703882652E-4</v>
      </c>
      <c r="I62">
        <f t="shared" si="12"/>
        <v>6.0579514710336249E-4</v>
      </c>
      <c r="J62">
        <f t="shared" si="12"/>
        <v>9.0751740279375402E-4</v>
      </c>
      <c r="K62">
        <f t="shared" si="12"/>
        <v>1.3174183247849241E-3</v>
      </c>
      <c r="L62">
        <f t="shared" si="12"/>
        <v>1.8532414459744551E-3</v>
      </c>
      <c r="M62">
        <f t="shared" si="13"/>
        <v>2.526270638583971E-3</v>
      </c>
      <c r="N62">
        <f t="shared" si="13"/>
        <v>3.3370853237353355E-3</v>
      </c>
      <c r="O62">
        <f t="shared" si="13"/>
        <v>4.2716367435528266E-3</v>
      </c>
      <c r="P62">
        <f t="shared" si="13"/>
        <v>5.2985969142577355E-3</v>
      </c>
      <c r="Q62">
        <f t="shared" si="13"/>
        <v>6.3689379394512207E-3</v>
      </c>
      <c r="R62">
        <f t="shared" si="13"/>
        <v>7.4184422115095216E-3</v>
      </c>
      <c r="S62">
        <f t="shared" si="13"/>
        <v>8.3733257107825795E-3</v>
      </c>
      <c r="T62">
        <f t="shared" si="13"/>
        <v>9.1584677013019679E-3</v>
      </c>
      <c r="U62">
        <f t="shared" si="13"/>
        <v>9.7070489001965174E-3</v>
      </c>
      <c r="V62">
        <f t="shared" si="13"/>
        <v>9.9699087361579519E-3</v>
      </c>
      <c r="W62">
        <f t="shared" si="14"/>
        <v>9.9228108841455422E-3</v>
      </c>
      <c r="X62">
        <f t="shared" si="14"/>
        <v>9.57012944339195E-3</v>
      </c>
      <c r="Y62">
        <f t="shared" si="14"/>
        <v>8.944178867583091E-3</v>
      </c>
      <c r="Z62">
        <f t="shared" si="14"/>
        <v>8.1003298810391582E-3</v>
      </c>
      <c r="AA62">
        <f t="shared" si="14"/>
        <v>7.1089343175357849E-3</v>
      </c>
      <c r="AB62">
        <f t="shared" si="14"/>
        <v>6.0456898508932178E-3</v>
      </c>
      <c r="AC62">
        <f t="shared" si="14"/>
        <v>4.9822646398983983E-3</v>
      </c>
      <c r="AD62">
        <f t="shared" si="14"/>
        <v>3.9787558146881343E-3</v>
      </c>
      <c r="AE62">
        <f t="shared" si="14"/>
        <v>3.0789833953076425E-3</v>
      </c>
      <c r="AF62">
        <f t="shared" si="14"/>
        <v>2.3089098335734078E-3</v>
      </c>
      <c r="AG62">
        <f t="shared" si="15"/>
        <v>1.6778230872741065E-3</v>
      </c>
      <c r="AH62">
        <f t="shared" si="15"/>
        <v>1.1814760570013534E-3</v>
      </c>
      <c r="AI62">
        <f t="shared" si="15"/>
        <v>8.0620084663003461E-4</v>
      </c>
      <c r="AJ62">
        <f t="shared" si="15"/>
        <v>5.3309074275187059E-4</v>
      </c>
      <c r="AK62">
        <f t="shared" si="15"/>
        <v>3.4158484809357581E-4</v>
      </c>
      <c r="AL62">
        <f t="shared" si="15"/>
        <v>2.1209753514449668E-4</v>
      </c>
      <c r="AM62">
        <f t="shared" si="15"/>
        <v>1.2761808131484242E-4</v>
      </c>
      <c r="AN62">
        <f t="shared" si="15"/>
        <v>7.4409496603037757E-5</v>
      </c>
      <c r="AO62">
        <f t="shared" si="15"/>
        <v>4.2042069723150371E-5</v>
      </c>
      <c r="AP62">
        <f t="shared" si="15"/>
        <v>2.3018624898676006E-5</v>
      </c>
      <c r="AQ62">
        <f t="shared" si="16"/>
        <v>1.221277145099212E-5</v>
      </c>
      <c r="AR62">
        <f t="shared" si="16"/>
        <v>6.278973495585152E-6</v>
      </c>
      <c r="AS62">
        <f t="shared" si="16"/>
        <v>3.1282585194753186E-6</v>
      </c>
      <c r="AT62">
        <f t="shared" si="16"/>
        <v>1.5102755383347042E-6</v>
      </c>
      <c r="AU62">
        <f t="shared" si="16"/>
        <v>7.0656042181255165E-7</v>
      </c>
      <c r="AV62">
        <f t="shared" si="16"/>
        <v>3.2031847719649098E-7</v>
      </c>
      <c r="AW62">
        <f t="shared" si="16"/>
        <v>1.4071948653727056E-7</v>
      </c>
      <c r="AX62">
        <f t="shared" si="16"/>
        <v>5.9905411882843556E-8</v>
      </c>
      <c r="AY62">
        <f t="shared" si="16"/>
        <v>2.4712543193199805E-8</v>
      </c>
      <c r="AZ62">
        <f t="shared" si="16"/>
        <v>9.8788954757785636E-9</v>
      </c>
      <c r="BA62">
        <f t="shared" si="16"/>
        <v>3.8268276700054531E-9</v>
      </c>
    </row>
    <row r="63" spans="1:53" hidden="1" x14ac:dyDescent="0.25">
      <c r="A63" s="1">
        <v>30</v>
      </c>
      <c r="B63" s="2">
        <f t="shared" si="6"/>
        <v>2.5545548054781948</v>
      </c>
      <c r="C63">
        <f t="shared" si="12"/>
        <v>1.5713792484305914E-5</v>
      </c>
      <c r="D63">
        <f t="shared" si="12"/>
        <v>2.8591351776277861E-5</v>
      </c>
      <c r="E63">
        <f t="shared" si="12"/>
        <v>5.0411303867120914E-5</v>
      </c>
      <c r="F63">
        <f t="shared" si="12"/>
        <v>8.6131247614447778E-5</v>
      </c>
      <c r="G63">
        <f t="shared" si="12"/>
        <v>1.426044610946859E-4</v>
      </c>
      <c r="H63">
        <f t="shared" si="12"/>
        <v>2.2879422151445014E-4</v>
      </c>
      <c r="I63">
        <f t="shared" si="12"/>
        <v>3.5571039559108422E-4</v>
      </c>
      <c r="J63">
        <f t="shared" si="12"/>
        <v>5.3590477865383002E-4</v>
      </c>
      <c r="K63">
        <f t="shared" si="12"/>
        <v>7.8238095086943045E-4</v>
      </c>
      <c r="L63">
        <f t="shared" si="12"/>
        <v>1.1068492425150725E-3</v>
      </c>
      <c r="M63">
        <f t="shared" si="13"/>
        <v>1.5173935812988325E-3</v>
      </c>
      <c r="N63">
        <f t="shared" si="13"/>
        <v>2.0158006420531796E-3</v>
      </c>
      <c r="O63">
        <f t="shared" si="13"/>
        <v>2.5949947399806464E-3</v>
      </c>
      <c r="P63">
        <f t="shared" si="13"/>
        <v>3.2371658534222502E-3</v>
      </c>
      <c r="Q63">
        <f t="shared" si="13"/>
        <v>3.9132084765882138E-3</v>
      </c>
      <c r="R63">
        <f t="shared" si="13"/>
        <v>4.5839575444374869E-3</v>
      </c>
      <c r="S63">
        <f t="shared" si="13"/>
        <v>5.2034064840881366E-3</v>
      </c>
      <c r="T63">
        <f t="shared" si="13"/>
        <v>5.723668690770004E-3</v>
      </c>
      <c r="U63">
        <f t="shared" si="13"/>
        <v>6.1009966494166524E-3</v>
      </c>
      <c r="V63">
        <f t="shared" si="13"/>
        <v>6.3018295452685171E-3</v>
      </c>
      <c r="W63">
        <f t="shared" si="14"/>
        <v>6.3077153074426462E-3</v>
      </c>
      <c r="X63">
        <f t="shared" si="14"/>
        <v>6.1181071870810991E-3</v>
      </c>
      <c r="Y63">
        <f t="shared" si="14"/>
        <v>5.7504475326421835E-3</v>
      </c>
      <c r="Z63">
        <f t="shared" si="14"/>
        <v>5.2375209756737257E-3</v>
      </c>
      <c r="AA63">
        <f t="shared" si="14"/>
        <v>4.6226335970054374E-3</v>
      </c>
      <c r="AB63">
        <f t="shared" si="14"/>
        <v>3.9536000507426287E-3</v>
      </c>
      <c r="AC63">
        <f t="shared" si="14"/>
        <v>3.2766915561332007E-3</v>
      </c>
      <c r="AD63">
        <f t="shared" si="14"/>
        <v>2.6315883581793575E-3</v>
      </c>
      <c r="AE63">
        <f t="shared" si="14"/>
        <v>2.0480469912828743E-3</v>
      </c>
      <c r="AF63">
        <f t="shared" si="14"/>
        <v>1.5445481221118768E-3</v>
      </c>
      <c r="AG63">
        <f t="shared" si="15"/>
        <v>1.1287624060490435E-3</v>
      </c>
      <c r="AH63">
        <f t="shared" si="15"/>
        <v>7.9936144156571439E-4</v>
      </c>
      <c r="AI63">
        <f t="shared" si="15"/>
        <v>5.485590958445723E-4</v>
      </c>
      <c r="AJ63">
        <f t="shared" si="15"/>
        <v>3.6479024135415827E-4</v>
      </c>
      <c r="AK63">
        <f t="shared" si="15"/>
        <v>2.350729022039157E-4</v>
      </c>
      <c r="AL63">
        <f t="shared" si="15"/>
        <v>1.4679169746067779E-4</v>
      </c>
      <c r="AM63">
        <f t="shared" si="15"/>
        <v>8.8825974774779683E-5</v>
      </c>
      <c r="AN63">
        <f t="shared" si="15"/>
        <v>5.2085643945134737E-5</v>
      </c>
      <c r="AO63">
        <f t="shared" si="15"/>
        <v>2.9596179973552062E-5</v>
      </c>
      <c r="AP63">
        <f t="shared" si="15"/>
        <v>1.6296443958885664E-5</v>
      </c>
      <c r="AQ63">
        <f t="shared" si="16"/>
        <v>8.695400732946037E-6</v>
      </c>
      <c r="AR63">
        <f t="shared" si="16"/>
        <v>4.4959960569670379E-6</v>
      </c>
      <c r="AS63">
        <f t="shared" si="16"/>
        <v>2.2526919544183566E-6</v>
      </c>
      <c r="AT63">
        <f t="shared" si="16"/>
        <v>1.0937479709051578E-6</v>
      </c>
      <c r="AU63">
        <f t="shared" si="16"/>
        <v>5.1460295869678344E-7</v>
      </c>
      <c r="AV63">
        <f t="shared" si="16"/>
        <v>2.3462099025940891E-7</v>
      </c>
      <c r="AW63">
        <f t="shared" si="16"/>
        <v>1.0365756775126045E-7</v>
      </c>
      <c r="AX63">
        <f t="shared" si="16"/>
        <v>4.4378715832547607E-8</v>
      </c>
      <c r="AY63">
        <f t="shared" si="16"/>
        <v>1.8411450899375513E-8</v>
      </c>
      <c r="AZ63">
        <f t="shared" si="16"/>
        <v>7.4018599431041756E-9</v>
      </c>
      <c r="BA63">
        <f t="shared" si="16"/>
        <v>2.8835884572104138E-9</v>
      </c>
    </row>
    <row r="64" spans="1:53" hidden="1" x14ac:dyDescent="0.25">
      <c r="A64" s="1">
        <v>31</v>
      </c>
      <c r="B64" s="2">
        <f t="shared" si="6"/>
        <v>2.7457414734035916</v>
      </c>
      <c r="C64">
        <f t="shared" ref="C64:L73" si="17">SQRT($I$4*$J$4-$K$4^2)/PI()*EXP(-($I$4*((C$33-$C$4)^2)+2*$K$4*(C$33-$C$4)*($B64-$C$5)+$J$4*(($B64-$C$5)^2)))</f>
        <v>8.5943631345517451E-6</v>
      </c>
      <c r="D64">
        <f t="shared" si="17"/>
        <v>1.5726398464279775E-5</v>
      </c>
      <c r="E64">
        <f t="shared" si="17"/>
        <v>2.7885884030121813E-5</v>
      </c>
      <c r="F64">
        <f t="shared" si="17"/>
        <v>4.7915842051774782E-5</v>
      </c>
      <c r="G64">
        <f t="shared" si="17"/>
        <v>7.9783557714357896E-5</v>
      </c>
      <c r="H64">
        <f t="shared" si="17"/>
        <v>1.2873221398152201E-4</v>
      </c>
      <c r="I64">
        <f t="shared" si="17"/>
        <v>2.012800096335368E-4</v>
      </c>
      <c r="J64">
        <f t="shared" si="17"/>
        <v>3.049675401364493E-4</v>
      </c>
      <c r="K64">
        <f t="shared" si="17"/>
        <v>4.4776088788647491E-4</v>
      </c>
      <c r="L64">
        <f t="shared" si="17"/>
        <v>6.3705695220265537E-4</v>
      </c>
      <c r="M64">
        <f t="shared" ref="M64:V73" si="18">SQRT($I$4*$J$4-$K$4^2)/PI()*EXP(-($I$4*((M$33-$C$4)^2)+2*$K$4*(M$33-$C$4)*($B64-$C$5)+$J$4*(($B64-$C$5)^2)))</f>
        <v>8.7831425237877179E-4</v>
      </c>
      <c r="N64">
        <f t="shared" si="18"/>
        <v>1.1734407524824917E-3</v>
      </c>
      <c r="O64">
        <f t="shared" si="18"/>
        <v>1.5191895682211964E-3</v>
      </c>
      <c r="P64">
        <f t="shared" si="18"/>
        <v>1.9059097795675408E-3</v>
      </c>
      <c r="Q64">
        <f t="shared" si="18"/>
        <v>2.3170332899023773E-3</v>
      </c>
      <c r="R64">
        <f t="shared" si="18"/>
        <v>2.729617379852486E-3</v>
      </c>
      <c r="S64">
        <f t="shared" si="18"/>
        <v>3.1160960942513381E-3</v>
      </c>
      <c r="T64">
        <f t="shared" si="18"/>
        <v>3.4471443930057712E-3</v>
      </c>
      <c r="U64">
        <f t="shared" si="18"/>
        <v>3.6952827519575425E-3</v>
      </c>
      <c r="V64">
        <f t="shared" si="18"/>
        <v>3.8386228179522453E-3</v>
      </c>
      <c r="W64">
        <f t="shared" ref="W64:AF73" si="19">SQRT($I$4*$J$4-$K$4^2)/PI()*EXP(-($I$4*((W$33-$C$4)^2)+2*$K$4*(W$33-$C$4)*($B64-$C$5)+$J$4*(($B64-$C$5)^2)))</f>
        <v>3.8640503101158544E-3</v>
      </c>
      <c r="X64">
        <f t="shared" si="19"/>
        <v>3.7692042331229575E-3</v>
      </c>
      <c r="Y64">
        <f t="shared" si="19"/>
        <v>3.5628384798390817E-3</v>
      </c>
      <c r="Z64">
        <f t="shared" si="19"/>
        <v>3.2634890835768655E-3</v>
      </c>
      <c r="AA64">
        <f t="shared" si="19"/>
        <v>2.8967282886139794E-3</v>
      </c>
      <c r="AB64">
        <f t="shared" si="19"/>
        <v>2.4915690237924549E-3</v>
      </c>
      <c r="AC64">
        <f t="shared" si="19"/>
        <v>2.0767185939498823E-3</v>
      </c>
      <c r="AD64">
        <f t="shared" si="19"/>
        <v>1.6773432525244065E-3</v>
      </c>
      <c r="AE64">
        <f t="shared" si="19"/>
        <v>1.3128218814309877E-3</v>
      </c>
      <c r="AF64">
        <f t="shared" si="19"/>
        <v>9.9570166542362602E-4</v>
      </c>
      <c r="AG64">
        <f t="shared" ref="AG64:AP73" si="20">SQRT($I$4*$J$4-$K$4^2)/PI()*EXP(-($I$4*((AG$33-$C$4)^2)+2*$K$4*(AG$33-$C$4)*($B64-$C$5)+$J$4*(($B64-$C$5)^2)))</f>
        <v>7.3179969895311391E-4</v>
      </c>
      <c r="AH64">
        <f t="shared" si="20"/>
        <v>5.2118845332581949E-4</v>
      </c>
      <c r="AI64">
        <f t="shared" si="20"/>
        <v>3.5969707876213789E-4</v>
      </c>
      <c r="AJ64">
        <f t="shared" si="20"/>
        <v>2.4055733403693567E-4</v>
      </c>
      <c r="AK64">
        <f t="shared" si="20"/>
        <v>1.5589775439584874E-4</v>
      </c>
      <c r="AL64">
        <f t="shared" si="20"/>
        <v>9.7904055729028505E-5</v>
      </c>
      <c r="AM64">
        <f t="shared" si="20"/>
        <v>5.9580078726209852E-5</v>
      </c>
      <c r="AN64">
        <f t="shared" si="20"/>
        <v>3.5135086617443512E-5</v>
      </c>
      <c r="AO64">
        <f t="shared" si="20"/>
        <v>2.0078004648239811E-5</v>
      </c>
      <c r="AP64">
        <f t="shared" si="20"/>
        <v>1.1118332007251745E-5</v>
      </c>
      <c r="AQ64">
        <f t="shared" ref="AQ64:BA73" si="21">SQRT($I$4*$J$4-$K$4^2)/PI()*EXP(-($I$4*((AQ$33-$C$4)^2)+2*$K$4*(AQ$33-$C$4)*($B64-$C$5)+$J$4*(($B64-$C$5)^2)))</f>
        <v>5.966206660802738E-6</v>
      </c>
      <c r="AR64">
        <f t="shared" si="21"/>
        <v>3.1023908645519017E-6</v>
      </c>
      <c r="AS64">
        <f t="shared" si="21"/>
        <v>1.5632711002528503E-6</v>
      </c>
      <c r="AT64">
        <f t="shared" si="21"/>
        <v>7.6332880596815384E-7</v>
      </c>
      <c r="AU64">
        <f t="shared" si="21"/>
        <v>3.6118405576810213E-7</v>
      </c>
      <c r="AV64">
        <f t="shared" si="21"/>
        <v>1.6560942724190056E-7</v>
      </c>
      <c r="AW64">
        <f t="shared" si="21"/>
        <v>7.358361264372184E-8</v>
      </c>
      <c r="AX64">
        <f t="shared" si="21"/>
        <v>3.1682301534525527E-8</v>
      </c>
      <c r="AY64">
        <f t="shared" si="21"/>
        <v>1.3218796175839701E-8</v>
      </c>
      <c r="AZ64">
        <f t="shared" si="21"/>
        <v>5.3444947570039693E-9</v>
      </c>
      <c r="BA64">
        <f t="shared" si="21"/>
        <v>2.0939242700454304E-9</v>
      </c>
    </row>
    <row r="65" spans="1:53" hidden="1" x14ac:dyDescent="0.25">
      <c r="A65" s="1">
        <v>32</v>
      </c>
      <c r="B65" s="2">
        <f t="shared" si="6"/>
        <v>2.9369281413289894</v>
      </c>
      <c r="C65">
        <f t="shared" si="17"/>
        <v>4.5298070718629167E-6</v>
      </c>
      <c r="D65">
        <f t="shared" si="17"/>
        <v>8.3359899250598328E-6</v>
      </c>
      <c r="E65">
        <f t="shared" si="17"/>
        <v>1.4865318639835196E-5</v>
      </c>
      <c r="F65">
        <f t="shared" si="17"/>
        <v>2.5688031827040022E-5</v>
      </c>
      <c r="G65">
        <f t="shared" si="17"/>
        <v>4.3015700989159433E-5</v>
      </c>
      <c r="H65">
        <f t="shared" si="17"/>
        <v>6.9801176817116265E-5</v>
      </c>
      <c r="I65">
        <f t="shared" si="17"/>
        <v>1.0975847162643566E-4</v>
      </c>
      <c r="J65">
        <f t="shared" si="17"/>
        <v>1.6724491542526753E-4</v>
      </c>
      <c r="K65">
        <f t="shared" si="17"/>
        <v>2.4694905107298536E-4</v>
      </c>
      <c r="L65">
        <f t="shared" si="17"/>
        <v>3.5334696570044397E-4</v>
      </c>
      <c r="M65">
        <f t="shared" si="18"/>
        <v>4.8993101913592601E-4</v>
      </c>
      <c r="N65">
        <f t="shared" si="18"/>
        <v>6.5827607918609741E-4</v>
      </c>
      <c r="O65">
        <f t="shared" si="18"/>
        <v>8.5707884692817228E-4</v>
      </c>
      <c r="P65">
        <f t="shared" si="18"/>
        <v>1.0813668346625505E-3</v>
      </c>
      <c r="Q65">
        <f t="shared" si="18"/>
        <v>1.3221017523918997E-3</v>
      </c>
      <c r="R65">
        <f t="shared" si="18"/>
        <v>1.5663769445962543E-3</v>
      </c>
      <c r="S65">
        <f t="shared" si="18"/>
        <v>1.7983211397354136E-3</v>
      </c>
      <c r="T65">
        <f t="shared" si="18"/>
        <v>2.0006807020068375E-3</v>
      </c>
      <c r="U65">
        <f t="shared" si="18"/>
        <v>2.156889432793322E-3</v>
      </c>
      <c r="V65">
        <f t="shared" si="18"/>
        <v>2.2532923822884635E-3</v>
      </c>
      <c r="W65">
        <f t="shared" si="19"/>
        <v>2.281112899212926E-3</v>
      </c>
      <c r="X65">
        <f t="shared" si="19"/>
        <v>2.2377706752677116E-3</v>
      </c>
      <c r="Y65">
        <f t="shared" si="19"/>
        <v>2.1272765000459083E-3</v>
      </c>
      <c r="Z65">
        <f t="shared" si="19"/>
        <v>1.9596200427793348E-3</v>
      </c>
      <c r="AA65">
        <f t="shared" si="19"/>
        <v>1.7492801543559824E-3</v>
      </c>
      <c r="AB65">
        <f t="shared" si="19"/>
        <v>1.5131655024122131E-3</v>
      </c>
      <c r="AC65">
        <f t="shared" si="19"/>
        <v>1.2683907324033087E-3</v>
      </c>
      <c r="AD65">
        <f t="shared" si="19"/>
        <v>1.0302894550662416E-3</v>
      </c>
      <c r="AE65">
        <f t="shared" si="19"/>
        <v>8.1097042378715158E-4</v>
      </c>
      <c r="AF65">
        <f t="shared" si="19"/>
        <v>6.1857212126242389E-4</v>
      </c>
      <c r="AG65">
        <f t="shared" si="20"/>
        <v>4.5720948954074185E-4</v>
      </c>
      <c r="AH65">
        <f t="shared" si="20"/>
        <v>3.274761643385348E-4</v>
      </c>
      <c r="AI65">
        <f t="shared" si="20"/>
        <v>2.2729177502676425E-4</v>
      </c>
      <c r="AJ65">
        <f t="shared" si="20"/>
        <v>1.5287177622469501E-4</v>
      </c>
      <c r="AK65">
        <f t="shared" si="20"/>
        <v>9.9634665993555079E-5</v>
      </c>
      <c r="AL65">
        <f t="shared" si="20"/>
        <v>6.2926444383757995E-5</v>
      </c>
      <c r="AM65">
        <f t="shared" si="20"/>
        <v>3.8511947661640388E-5</v>
      </c>
      <c r="AN65">
        <f t="shared" si="20"/>
        <v>2.2840065163427027E-5</v>
      </c>
      <c r="AO65">
        <f t="shared" si="20"/>
        <v>1.3126192246811318E-5</v>
      </c>
      <c r="AP65">
        <f t="shared" si="20"/>
        <v>7.3100399229929175E-6</v>
      </c>
      <c r="AQ65">
        <f t="shared" si="21"/>
        <v>3.944939099208098E-6</v>
      </c>
      <c r="AR65">
        <f t="shared" si="21"/>
        <v>2.0630056789446222E-6</v>
      </c>
      <c r="AS65">
        <f t="shared" si="21"/>
        <v>1.0454424004670703E-6</v>
      </c>
      <c r="AT65">
        <f t="shared" si="21"/>
        <v>5.1338049291620123E-7</v>
      </c>
      <c r="AU65">
        <f t="shared" si="21"/>
        <v>2.4429702675336534E-7</v>
      </c>
      <c r="AV65">
        <f t="shared" si="21"/>
        <v>1.1265139295968773E-7</v>
      </c>
      <c r="AW65">
        <f t="shared" si="21"/>
        <v>5.0337833187340679E-8</v>
      </c>
      <c r="AX65">
        <f t="shared" si="21"/>
        <v>2.1796764619950866E-8</v>
      </c>
      <c r="AY65">
        <f t="shared" si="21"/>
        <v>9.1459562074789888E-9</v>
      </c>
      <c r="AZ65">
        <f t="shared" si="21"/>
        <v>3.7188252145093847E-9</v>
      </c>
      <c r="BA65">
        <f t="shared" si="21"/>
        <v>1.4652845903608452E-9</v>
      </c>
    </row>
    <row r="66" spans="1:53" hidden="1" x14ac:dyDescent="0.25">
      <c r="A66" s="1">
        <v>33</v>
      </c>
      <c r="B66" s="2">
        <f t="shared" si="6"/>
        <v>3.1281148092543871</v>
      </c>
      <c r="C66">
        <f t="shared" si="17"/>
        <v>2.3008008569559569E-6</v>
      </c>
      <c r="D66">
        <f t="shared" si="17"/>
        <v>4.2581249990911997E-6</v>
      </c>
      <c r="E66">
        <f t="shared" si="17"/>
        <v>7.6365526096706995E-6</v>
      </c>
      <c r="F66">
        <f t="shared" si="17"/>
        <v>1.3271373016982291E-5</v>
      </c>
      <c r="G66">
        <f t="shared" si="17"/>
        <v>2.2349814870230343E-5</v>
      </c>
      <c r="H66">
        <f t="shared" si="17"/>
        <v>3.6473007026353452E-5</v>
      </c>
      <c r="I66">
        <f t="shared" si="17"/>
        <v>5.7677811935727517E-5</v>
      </c>
      <c r="J66">
        <f t="shared" si="17"/>
        <v>8.8386421114530471E-5</v>
      </c>
      <c r="K66">
        <f t="shared" si="17"/>
        <v>1.3125077837786321E-4</v>
      </c>
      <c r="L66">
        <f t="shared" si="17"/>
        <v>1.8886774381712045E-4</v>
      </c>
      <c r="M66">
        <f t="shared" si="18"/>
        <v>2.6336209188485921E-4</v>
      </c>
      <c r="N66">
        <f t="shared" si="18"/>
        <v>3.5586747762197235E-4</v>
      </c>
      <c r="O66">
        <f t="shared" si="18"/>
        <v>4.6597530698480399E-4</v>
      </c>
      <c r="P66">
        <f t="shared" si="18"/>
        <v>5.912580575724931E-4</v>
      </c>
      <c r="Q66">
        <f t="shared" si="18"/>
        <v>7.2699396819077592E-4</v>
      </c>
      <c r="R66">
        <f t="shared" si="18"/>
        <v>8.662118266210228E-4</v>
      </c>
      <c r="S66">
        <f t="shared" si="18"/>
        <v>1.0001312018377176E-3</v>
      </c>
      <c r="T66">
        <f t="shared" si="18"/>
        <v>1.1189982572238012E-3</v>
      </c>
      <c r="U66">
        <f t="shared" si="18"/>
        <v>1.2132251648131389E-3</v>
      </c>
      <c r="V66">
        <f t="shared" si="18"/>
        <v>1.2746559447619581E-3</v>
      </c>
      <c r="W66">
        <f t="shared" si="19"/>
        <v>1.2977292927857146E-3</v>
      </c>
      <c r="X66">
        <f t="shared" si="19"/>
        <v>1.2803090221437875E-3</v>
      </c>
      <c r="Y66">
        <f t="shared" si="19"/>
        <v>1.2240102936687315E-3</v>
      </c>
      <c r="Z66">
        <f t="shared" si="19"/>
        <v>1.1339525983888529E-3</v>
      </c>
      <c r="AA66">
        <f t="shared" si="19"/>
        <v>1.0179918404354409E-3</v>
      </c>
      <c r="AB66">
        <f t="shared" si="19"/>
        <v>8.8559113316489559E-4</v>
      </c>
      <c r="AC66">
        <f t="shared" si="19"/>
        <v>7.4655496535075872E-4</v>
      </c>
      <c r="AD66">
        <f t="shared" si="19"/>
        <v>6.0985962607673183E-4</v>
      </c>
      <c r="AE66">
        <f t="shared" si="19"/>
        <v>4.8276696474170219E-4</v>
      </c>
      <c r="AF66">
        <f t="shared" si="19"/>
        <v>3.7032648343378934E-4</v>
      </c>
      <c r="AG66">
        <f t="shared" si="20"/>
        <v>2.7527803807775959E-4</v>
      </c>
      <c r="AH66">
        <f t="shared" si="20"/>
        <v>1.9828868091302578E-4</v>
      </c>
      <c r="AI66">
        <f t="shared" si="20"/>
        <v>1.3840884646397565E-4</v>
      </c>
      <c r="AJ66">
        <f t="shared" si="20"/>
        <v>9.3620151738581581E-5</v>
      </c>
      <c r="AK66">
        <f t="shared" si="20"/>
        <v>6.1364104150030835E-5</v>
      </c>
      <c r="AL66">
        <f t="shared" si="20"/>
        <v>3.8976157552777059E-5</v>
      </c>
      <c r="AM66">
        <f t="shared" si="20"/>
        <v>2.3989611347489078E-5</v>
      </c>
      <c r="AN66">
        <f t="shared" si="20"/>
        <v>1.4308264772499465E-5</v>
      </c>
      <c r="AO66">
        <f t="shared" si="20"/>
        <v>8.2697101936518526E-6</v>
      </c>
      <c r="AP66">
        <f t="shared" si="20"/>
        <v>4.6316227507497016E-6</v>
      </c>
      <c r="AQ66">
        <f t="shared" si="21"/>
        <v>2.5137126629867957E-6</v>
      </c>
      <c r="AR66">
        <f t="shared" si="21"/>
        <v>1.3220188678518646E-6</v>
      </c>
      <c r="AS66">
        <f t="shared" si="21"/>
        <v>6.7375071654781619E-7</v>
      </c>
      <c r="AT66">
        <f t="shared" si="21"/>
        <v>3.3273646077255495E-7</v>
      </c>
      <c r="AU66">
        <f t="shared" si="21"/>
        <v>1.5923594577342414E-7</v>
      </c>
      <c r="AV66">
        <f t="shared" si="21"/>
        <v>7.3845051326758573E-8</v>
      </c>
      <c r="AW66">
        <f t="shared" si="21"/>
        <v>3.3184956126307047E-8</v>
      </c>
      <c r="AX66">
        <f t="shared" si="21"/>
        <v>1.4451091971281807E-8</v>
      </c>
      <c r="AY66">
        <f t="shared" si="21"/>
        <v>6.0981717026705315E-9</v>
      </c>
      <c r="AZ66">
        <f t="shared" si="21"/>
        <v>2.4936655057937814E-9</v>
      </c>
      <c r="BA66">
        <f t="shared" si="21"/>
        <v>9.8813507063419733E-10</v>
      </c>
    </row>
    <row r="67" spans="1:53" hidden="1" x14ac:dyDescent="0.25">
      <c r="A67" s="1">
        <v>34</v>
      </c>
      <c r="B67" s="2">
        <f t="shared" si="6"/>
        <v>3.3193014771797849</v>
      </c>
      <c r="C67">
        <f t="shared" si="17"/>
        <v>1.1261900210981567E-6</v>
      </c>
      <c r="D67">
        <f t="shared" si="17"/>
        <v>2.0961045982572114E-6</v>
      </c>
      <c r="E67">
        <f t="shared" si="17"/>
        <v>3.7805396099271695E-6</v>
      </c>
      <c r="F67">
        <f t="shared" si="17"/>
        <v>6.6074547976433309E-6</v>
      </c>
      <c r="G67">
        <f t="shared" si="17"/>
        <v>1.1190620678138039E-5</v>
      </c>
      <c r="H67">
        <f t="shared" si="17"/>
        <v>1.8365963433116032E-5</v>
      </c>
      <c r="I67">
        <f t="shared" si="17"/>
        <v>2.9208739923609124E-5</v>
      </c>
      <c r="J67">
        <f t="shared" si="17"/>
        <v>4.5014402957683246E-5</v>
      </c>
      <c r="K67">
        <f t="shared" si="17"/>
        <v>6.7224833151759977E-5</v>
      </c>
      <c r="L67">
        <f t="shared" si="17"/>
        <v>9.7285370637306153E-5</v>
      </c>
      <c r="M67">
        <f t="shared" si="18"/>
        <v>1.3642843860097085E-4</v>
      </c>
      <c r="N67">
        <f t="shared" si="18"/>
        <v>1.8539663434658196E-4</v>
      </c>
      <c r="O67">
        <f t="shared" si="18"/>
        <v>2.4413966760727286E-4</v>
      </c>
      <c r="P67">
        <f t="shared" si="18"/>
        <v>3.1154043232475771E-4</v>
      </c>
      <c r="Q67">
        <f t="shared" si="18"/>
        <v>3.8523882861531058E-4</v>
      </c>
      <c r="R67">
        <f t="shared" si="18"/>
        <v>4.6162067868504722E-4</v>
      </c>
      <c r="S67">
        <f t="shared" si="18"/>
        <v>5.3601880082798008E-4</v>
      </c>
      <c r="T67">
        <f t="shared" si="18"/>
        <v>6.0313475725980365E-4</v>
      </c>
      <c r="U67">
        <f t="shared" si="18"/>
        <v>6.5764005420141508E-4</v>
      </c>
      <c r="V67">
        <f t="shared" si="18"/>
        <v>6.9486705667105321E-4</v>
      </c>
      <c r="W67">
        <f t="shared" si="19"/>
        <v>7.1146698951120464E-4</v>
      </c>
      <c r="X67">
        <f t="shared" si="19"/>
        <v>7.059067794483332E-4</v>
      </c>
      <c r="Y67">
        <f t="shared" si="19"/>
        <v>6.7870260669782912E-4</v>
      </c>
      <c r="Z67">
        <f t="shared" si="19"/>
        <v>6.3234086309634971E-4</v>
      </c>
      <c r="AA67">
        <f t="shared" si="19"/>
        <v>5.7090328804160716E-4</v>
      </c>
      <c r="AB67">
        <f t="shared" si="19"/>
        <v>4.9947459912518888E-4</v>
      </c>
      <c r="AC67">
        <f t="shared" si="19"/>
        <v>4.2345165622130043E-4</v>
      </c>
      <c r="AD67">
        <f t="shared" si="19"/>
        <v>3.4788350000342463E-4</v>
      </c>
      <c r="AE67">
        <f t="shared" si="19"/>
        <v>2.7695128968459402E-4</v>
      </c>
      <c r="AF67">
        <f t="shared" si="19"/>
        <v>2.1365473353045263E-4</v>
      </c>
      <c r="AG67">
        <f t="shared" si="20"/>
        <v>1.5972070276013198E-4</v>
      </c>
      <c r="AH67">
        <f t="shared" si="20"/>
        <v>1.1570429269704319E-4</v>
      </c>
      <c r="AI67">
        <f t="shared" si="20"/>
        <v>8.122267666026874E-5</v>
      </c>
      <c r="AJ67">
        <f t="shared" si="20"/>
        <v>5.5251578376931387E-5</v>
      </c>
      <c r="AK67">
        <f t="shared" si="20"/>
        <v>3.6420981630028335E-5</v>
      </c>
      <c r="AL67">
        <f t="shared" si="20"/>
        <v>2.3264738255284568E-5</v>
      </c>
      <c r="AM67">
        <f t="shared" si="20"/>
        <v>1.4400721808375153E-5</v>
      </c>
      <c r="AN67">
        <f t="shared" si="20"/>
        <v>8.637934707372219E-6</v>
      </c>
      <c r="AO67">
        <f t="shared" si="20"/>
        <v>5.0208256342889643E-6</v>
      </c>
      <c r="AP67">
        <f t="shared" si="20"/>
        <v>2.8280034024522793E-6</v>
      </c>
      <c r="AQ67">
        <f t="shared" si="21"/>
        <v>1.5435627241577167E-6</v>
      </c>
      <c r="AR67">
        <f t="shared" si="21"/>
        <v>8.164097878481403E-7</v>
      </c>
      <c r="AS67">
        <f t="shared" si="21"/>
        <v>4.1843855101766897E-7</v>
      </c>
      <c r="AT67">
        <f t="shared" si="21"/>
        <v>2.078235420226598E-7</v>
      </c>
      <c r="AU67">
        <f t="shared" si="21"/>
        <v>1.0002242080435021E-7</v>
      </c>
      <c r="AV67">
        <f t="shared" si="21"/>
        <v>4.6648700120871469E-8</v>
      </c>
      <c r="AW67">
        <f t="shared" si="21"/>
        <v>2.1082460618288829E-8</v>
      </c>
      <c r="AX67">
        <f t="shared" si="21"/>
        <v>9.2329953129558793E-9</v>
      </c>
      <c r="AY67">
        <f t="shared" si="21"/>
        <v>3.9183524590593935E-9</v>
      </c>
      <c r="AZ67">
        <f t="shared" si="21"/>
        <v>1.6114021848508126E-9</v>
      </c>
      <c r="BA67">
        <f t="shared" si="21"/>
        <v>6.4216105558682357E-10</v>
      </c>
    </row>
    <row r="68" spans="1:53" hidden="1" x14ac:dyDescent="0.25">
      <c r="A68" s="1">
        <v>35</v>
      </c>
      <c r="B68" s="2">
        <f t="shared" si="6"/>
        <v>3.5104881451051826</v>
      </c>
      <c r="C68">
        <f t="shared" si="17"/>
        <v>5.3122393999613521E-7</v>
      </c>
      <c r="D68">
        <f t="shared" si="17"/>
        <v>9.943535179376479E-7</v>
      </c>
      <c r="E68">
        <f t="shared" si="17"/>
        <v>1.8036138294769895E-6</v>
      </c>
      <c r="F68">
        <f t="shared" si="17"/>
        <v>3.1701941839336894E-6</v>
      </c>
      <c r="G68">
        <f t="shared" si="17"/>
        <v>5.3996764704148883E-6</v>
      </c>
      <c r="H68">
        <f t="shared" si="17"/>
        <v>8.9122873310954099E-6</v>
      </c>
      <c r="I68">
        <f t="shared" si="17"/>
        <v>1.4254440851509957E-5</v>
      </c>
      <c r="J68">
        <f t="shared" si="17"/>
        <v>2.2092799892737229E-5</v>
      </c>
      <c r="K68">
        <f t="shared" si="17"/>
        <v>3.3181109040666788E-5</v>
      </c>
      <c r="L68">
        <f t="shared" si="17"/>
        <v>4.8291489688496752E-5</v>
      </c>
      <c r="M68">
        <f t="shared" si="18"/>
        <v>6.8106705637673958E-5</v>
      </c>
      <c r="N68">
        <f t="shared" si="18"/>
        <v>9.3078357486025895E-5</v>
      </c>
      <c r="O68">
        <f t="shared" si="18"/>
        <v>1.2326708164601244E-4</v>
      </c>
      <c r="P68">
        <f t="shared" si="18"/>
        <v>1.5819220644126909E-4</v>
      </c>
      <c r="Q68">
        <f t="shared" si="18"/>
        <v>1.9672638842747203E-4</v>
      </c>
      <c r="R68">
        <f t="shared" si="18"/>
        <v>2.3707170369934022E-4</v>
      </c>
      <c r="S68">
        <f t="shared" si="18"/>
        <v>2.7684481145705703E-4</v>
      </c>
      <c r="T68">
        <f t="shared" si="18"/>
        <v>3.1327996556885135E-4</v>
      </c>
      <c r="U68">
        <f t="shared" si="18"/>
        <v>3.4353296866875102E-4</v>
      </c>
      <c r="V68">
        <f t="shared" si="18"/>
        <v>3.6504280131128338E-4</v>
      </c>
      <c r="W68">
        <f t="shared" si="19"/>
        <v>3.7588822453326292E-4</v>
      </c>
      <c r="X68">
        <f t="shared" si="19"/>
        <v>3.7507076920432488E-4</v>
      </c>
      <c r="Y68">
        <f t="shared" si="19"/>
        <v>3.6266636852038585E-4</v>
      </c>
      <c r="Z68">
        <f t="shared" si="19"/>
        <v>3.3981372364631708E-4</v>
      </c>
      <c r="AA68">
        <f t="shared" si="19"/>
        <v>3.0854187254628909E-4</v>
      </c>
      <c r="AB68">
        <f t="shared" si="19"/>
        <v>2.7147314471252028E-4</v>
      </c>
      <c r="AC68">
        <f t="shared" si="19"/>
        <v>2.3146173422064107E-4</v>
      </c>
      <c r="AD68">
        <f t="shared" si="19"/>
        <v>1.9123663701428579E-4</v>
      </c>
      <c r="AE68">
        <f t="shared" si="19"/>
        <v>1.5310964834274862E-4</v>
      </c>
      <c r="AF68">
        <f t="shared" si="19"/>
        <v>1.1878827790687544E-4</v>
      </c>
      <c r="AG68">
        <f t="shared" si="20"/>
        <v>8.9306728350658636E-5</v>
      </c>
      <c r="AH68">
        <f t="shared" si="20"/>
        <v>6.5063038199068891E-5</v>
      </c>
      <c r="AI68">
        <f t="shared" si="20"/>
        <v>4.5932921078964565E-5</v>
      </c>
      <c r="AJ68">
        <f t="shared" si="20"/>
        <v>3.1423413245956796E-5</v>
      </c>
      <c r="AK68">
        <f t="shared" si="20"/>
        <v>2.0831580185567406E-5</v>
      </c>
      <c r="AL68">
        <f t="shared" si="20"/>
        <v>1.3382296217443008E-5</v>
      </c>
      <c r="AM68">
        <f t="shared" si="20"/>
        <v>8.3306450187223971E-6</v>
      </c>
      <c r="AN68">
        <f t="shared" si="20"/>
        <v>5.025348504932373E-6</v>
      </c>
      <c r="AO68">
        <f t="shared" si="20"/>
        <v>2.9376043836350015E-6</v>
      </c>
      <c r="AP68">
        <f t="shared" si="20"/>
        <v>1.6640255722409119E-6</v>
      </c>
      <c r="AQ68">
        <f t="shared" si="21"/>
        <v>9.1341102804642693E-7</v>
      </c>
      <c r="AR68">
        <f t="shared" si="21"/>
        <v>4.8586103557720201E-7</v>
      </c>
      <c r="AS68">
        <f t="shared" si="21"/>
        <v>2.5043640355207504E-7</v>
      </c>
      <c r="AT68">
        <f t="shared" si="21"/>
        <v>1.2508994782285144E-7</v>
      </c>
      <c r="AU68">
        <f t="shared" si="21"/>
        <v>6.0546205483493389E-8</v>
      </c>
      <c r="AV68">
        <f t="shared" si="21"/>
        <v>2.8398213224696098E-8</v>
      </c>
      <c r="AW68">
        <f t="shared" si="21"/>
        <v>1.2907278088357127E-8</v>
      </c>
      <c r="AX68">
        <f t="shared" si="21"/>
        <v>5.6848352689890937E-9</v>
      </c>
      <c r="AY68">
        <f t="shared" si="21"/>
        <v>2.4262786023042522E-9</v>
      </c>
      <c r="AZ68">
        <f t="shared" si="21"/>
        <v>1.0034668220451482E-9</v>
      </c>
      <c r="BA68">
        <f t="shared" si="21"/>
        <v>4.0216561298732598E-10</v>
      </c>
    </row>
    <row r="69" spans="1:53" hidden="1" x14ac:dyDescent="0.25">
      <c r="A69" s="1">
        <v>36</v>
      </c>
      <c r="B69" s="2">
        <f t="shared" si="6"/>
        <v>3.7016748130305794</v>
      </c>
      <c r="C69">
        <f t="shared" si="17"/>
        <v>2.4147763942305169E-7</v>
      </c>
      <c r="D69">
        <f t="shared" si="17"/>
        <v>4.5457128468473103E-7</v>
      </c>
      <c r="E69">
        <f t="shared" si="17"/>
        <v>8.2921402704470841E-7</v>
      </c>
      <c r="F69">
        <f t="shared" si="17"/>
        <v>1.4657869417388092E-6</v>
      </c>
      <c r="G69">
        <f t="shared" si="17"/>
        <v>2.5108144698279786E-6</v>
      </c>
      <c r="H69">
        <f t="shared" si="17"/>
        <v>4.1677145236387105E-6</v>
      </c>
      <c r="I69">
        <f t="shared" si="17"/>
        <v>6.7037972360019429E-6</v>
      </c>
      <c r="J69">
        <f t="shared" si="17"/>
        <v>1.0449207245710747E-5</v>
      </c>
      <c r="K69">
        <f t="shared" si="17"/>
        <v>1.5782848285500778E-5</v>
      </c>
      <c r="L69">
        <f t="shared" si="17"/>
        <v>2.310079823118579E-5</v>
      </c>
      <c r="M69">
        <f t="shared" si="18"/>
        <v>3.2764848037386455E-5</v>
      </c>
      <c r="N69">
        <f t="shared" si="18"/>
        <v>4.5032794239914246E-5</v>
      </c>
      <c r="O69">
        <f t="shared" si="18"/>
        <v>5.9977615915382585E-5</v>
      </c>
      <c r="P69">
        <f t="shared" si="18"/>
        <v>7.7408574213996611E-5</v>
      </c>
      <c r="Q69">
        <f t="shared" si="18"/>
        <v>9.6811846586154917E-5</v>
      </c>
      <c r="R69">
        <f t="shared" si="18"/>
        <v>1.1732957720143688E-4</v>
      </c>
      <c r="S69">
        <f t="shared" si="18"/>
        <v>1.3779265669315108E-4</v>
      </c>
      <c r="T69">
        <f t="shared" si="18"/>
        <v>1.5681377420807959E-4</v>
      </c>
      <c r="U69">
        <f t="shared" si="18"/>
        <v>1.7293460557305909E-4</v>
      </c>
      <c r="V69">
        <f t="shared" si="18"/>
        <v>1.8480732205789505E-4</v>
      </c>
      <c r="W69">
        <f t="shared" si="19"/>
        <v>1.9137976030801011E-4</v>
      </c>
      <c r="X69">
        <f t="shared" si="19"/>
        <v>1.9204915683771942E-4</v>
      </c>
      <c r="Y69">
        <f t="shared" si="19"/>
        <v>1.8675333642512171E-4</v>
      </c>
      <c r="Z69">
        <f t="shared" si="19"/>
        <v>1.759802377627583E-4</v>
      </c>
      <c r="AA69">
        <f t="shared" si="19"/>
        <v>1.6069375416966463E-4</v>
      </c>
      <c r="AB69">
        <f t="shared" si="19"/>
        <v>1.4219150794119961E-4</v>
      </c>
      <c r="AC69">
        <f t="shared" si="19"/>
        <v>1.2192363131793123E-4</v>
      </c>
      <c r="AD69">
        <f t="shared" si="19"/>
        <v>1.013075200531776E-4</v>
      </c>
      <c r="AE69">
        <f t="shared" si="19"/>
        <v>8.1570860835906606E-5</v>
      </c>
      <c r="AF69">
        <f t="shared" si="19"/>
        <v>6.3645539615360172E-5</v>
      </c>
      <c r="AG69">
        <f t="shared" si="20"/>
        <v>4.8121645178343173E-5</v>
      </c>
      <c r="AH69">
        <f t="shared" si="20"/>
        <v>3.5257582128541278E-5</v>
      </c>
      <c r="AI69">
        <f t="shared" si="20"/>
        <v>2.5032495802858381E-5</v>
      </c>
      <c r="AJ69">
        <f t="shared" si="20"/>
        <v>1.7222466312623334E-5</v>
      </c>
      <c r="AK69">
        <f t="shared" si="20"/>
        <v>1.1482226299276994E-5</v>
      </c>
      <c r="AL69">
        <f t="shared" si="20"/>
        <v>7.4181639265432211E-6</v>
      </c>
      <c r="AM69">
        <f t="shared" si="20"/>
        <v>4.6441508338140929E-6</v>
      </c>
      <c r="AN69">
        <f t="shared" si="20"/>
        <v>2.8174471147201363E-6</v>
      </c>
      <c r="AO69">
        <f t="shared" si="20"/>
        <v>1.6563220951076417E-6</v>
      </c>
      <c r="AP69">
        <f t="shared" si="20"/>
        <v>9.4356839126455281E-7</v>
      </c>
      <c r="AQ69">
        <f t="shared" si="21"/>
        <v>5.2088462524874984E-7</v>
      </c>
      <c r="AR69">
        <f t="shared" si="21"/>
        <v>2.7864372006921927E-7</v>
      </c>
      <c r="AS69">
        <f t="shared" si="21"/>
        <v>1.4444301552795129E-7</v>
      </c>
      <c r="AT69">
        <f t="shared" si="21"/>
        <v>7.2557681972183324E-8</v>
      </c>
      <c r="AU69">
        <f t="shared" si="21"/>
        <v>3.5319115497844866E-8</v>
      </c>
      <c r="AV69">
        <f t="shared" si="21"/>
        <v>1.6660030965828893E-8</v>
      </c>
      <c r="AW69">
        <f t="shared" si="21"/>
        <v>7.6152007355987303E-9</v>
      </c>
      <c r="AX69">
        <f t="shared" si="21"/>
        <v>3.3730786935998262E-9</v>
      </c>
      <c r="AY69">
        <f t="shared" si="21"/>
        <v>1.4478086168462679E-9</v>
      </c>
      <c r="AZ69">
        <f t="shared" si="21"/>
        <v>6.0219258958100689E-10</v>
      </c>
      <c r="BA69">
        <f t="shared" si="21"/>
        <v>2.4271645637377861E-10</v>
      </c>
    </row>
    <row r="70" spans="1:53" hidden="1" x14ac:dyDescent="0.25">
      <c r="A70" s="1">
        <v>37</v>
      </c>
      <c r="B70" s="2">
        <f t="shared" si="6"/>
        <v>3.8928614809559772</v>
      </c>
      <c r="C70">
        <f t="shared" si="17"/>
        <v>1.0578145205241861E-7</v>
      </c>
      <c r="D70">
        <f t="shared" si="17"/>
        <v>2.0026105532599639E-7</v>
      </c>
      <c r="E70">
        <f t="shared" si="17"/>
        <v>3.6738637237659263E-7</v>
      </c>
      <c r="F70">
        <f t="shared" si="17"/>
        <v>6.5311423753436219E-7</v>
      </c>
      <c r="G70">
        <f t="shared" si="17"/>
        <v>1.1251095883418353E-6</v>
      </c>
      <c r="H70">
        <f t="shared" si="17"/>
        <v>1.8781923465737234E-6</v>
      </c>
      <c r="I70">
        <f t="shared" si="17"/>
        <v>3.0382595615611131E-6</v>
      </c>
      <c r="J70">
        <f t="shared" si="17"/>
        <v>4.7626563519870626E-6</v>
      </c>
      <c r="K70">
        <f t="shared" si="17"/>
        <v>7.2345776990715987E-6</v>
      </c>
      <c r="L70">
        <f t="shared" si="17"/>
        <v>1.0649192815166344E-5</v>
      </c>
      <c r="M70">
        <f t="shared" si="18"/>
        <v>1.519006952969537E-5</v>
      </c>
      <c r="N70">
        <f t="shared" si="18"/>
        <v>2.0996282099414521E-5</v>
      </c>
      <c r="O70">
        <f t="shared" si="18"/>
        <v>2.8123191408498055E-5</v>
      </c>
      <c r="P70">
        <f t="shared" si="18"/>
        <v>3.6502816258575004E-5</v>
      </c>
      <c r="Q70">
        <f t="shared" si="18"/>
        <v>4.5912158192728174E-5</v>
      </c>
      <c r="R70">
        <f t="shared" si="18"/>
        <v>5.5958827993454184E-5</v>
      </c>
      <c r="S70">
        <f t="shared" si="18"/>
        <v>6.6092027976093789E-5</v>
      </c>
      <c r="T70">
        <f t="shared" si="18"/>
        <v>7.5643064013089189E-5</v>
      </c>
      <c r="U70">
        <f t="shared" si="18"/>
        <v>8.3893577084417936E-5</v>
      </c>
      <c r="V70">
        <f t="shared" si="18"/>
        <v>9.0162901421835025E-5</v>
      </c>
      <c r="W70">
        <f t="shared" si="19"/>
        <v>9.3900220316947607E-5</v>
      </c>
      <c r="X70">
        <f t="shared" si="19"/>
        <v>9.4764332931673661E-5</v>
      </c>
      <c r="Y70">
        <f t="shared" si="19"/>
        <v>9.2675038384067344E-5</v>
      </c>
      <c r="Z70">
        <f t="shared" si="19"/>
        <v>8.7825413946043994E-5</v>
      </c>
      <c r="AA70">
        <f t="shared" si="19"/>
        <v>8.0652382733642183E-5</v>
      </c>
      <c r="AB70">
        <f t="shared" si="19"/>
        <v>7.1771787971835839E-5</v>
      </c>
      <c r="AC70">
        <f t="shared" si="19"/>
        <v>6.189134128740122E-5</v>
      </c>
      <c r="AD70">
        <f t="shared" si="19"/>
        <v>5.171846064399913E-5</v>
      </c>
      <c r="AE70">
        <f t="shared" si="19"/>
        <v>4.1879438616598394E-5</v>
      </c>
      <c r="AF70">
        <f t="shared" si="19"/>
        <v>3.2862127703325011E-5</v>
      </c>
      <c r="AG70">
        <f t="shared" si="20"/>
        <v>2.498791803326187E-5</v>
      </c>
      <c r="AH70">
        <f t="shared" si="20"/>
        <v>1.841212999509417E-5</v>
      </c>
      <c r="AI70">
        <f t="shared" si="20"/>
        <v>1.3146724389696238E-5</v>
      </c>
      <c r="AJ70">
        <f t="shared" si="20"/>
        <v>9.0964230590297967E-6</v>
      </c>
      <c r="AK70">
        <f t="shared" si="20"/>
        <v>6.0990656569619022E-6</v>
      </c>
      <c r="AL70">
        <f t="shared" si="20"/>
        <v>3.9627395818970059E-6</v>
      </c>
      <c r="AM70">
        <f t="shared" si="20"/>
        <v>2.4949814629425373E-6</v>
      </c>
      <c r="AN70">
        <f t="shared" si="20"/>
        <v>1.5222244026369478E-6</v>
      </c>
      <c r="AO70">
        <f t="shared" si="20"/>
        <v>8.9997325286497916E-7</v>
      </c>
      <c r="AP70">
        <f t="shared" si="20"/>
        <v>5.1560852723724736E-7</v>
      </c>
      <c r="AQ70">
        <f t="shared" si="21"/>
        <v>2.8625306537478954E-7</v>
      </c>
      <c r="AR70">
        <f t="shared" si="21"/>
        <v>1.5399966179404526E-7</v>
      </c>
      <c r="AS70">
        <f t="shared" si="21"/>
        <v>8.0283991110883032E-8</v>
      </c>
      <c r="AT70">
        <f t="shared" si="21"/>
        <v>4.055810987439001E-8</v>
      </c>
      <c r="AU70">
        <f t="shared" si="21"/>
        <v>1.9854823318240934E-8</v>
      </c>
      <c r="AV70">
        <f t="shared" si="21"/>
        <v>9.4187639360389431E-9</v>
      </c>
      <c r="AW70">
        <f t="shared" si="21"/>
        <v>4.3297354737579546E-9</v>
      </c>
      <c r="AX70">
        <f t="shared" si="21"/>
        <v>1.9287164365027066E-9</v>
      </c>
      <c r="AY70">
        <f t="shared" si="21"/>
        <v>8.3255889545885198E-10</v>
      </c>
      <c r="AZ70">
        <f t="shared" si="21"/>
        <v>3.4825801101823821E-10</v>
      </c>
      <c r="BA70">
        <f t="shared" si="21"/>
        <v>1.4116493464487437E-10</v>
      </c>
    </row>
    <row r="71" spans="1:53" hidden="1" x14ac:dyDescent="0.25">
      <c r="A71" s="1">
        <v>38</v>
      </c>
      <c r="B71" s="2">
        <f t="shared" si="6"/>
        <v>4.0840481488813749</v>
      </c>
      <c r="C71">
        <f t="shared" si="17"/>
        <v>4.4655550350540451E-8</v>
      </c>
      <c r="D71">
        <f t="shared" si="17"/>
        <v>8.5020630727588701E-8</v>
      </c>
      <c r="E71">
        <f t="shared" si="17"/>
        <v>1.5686020018534076E-7</v>
      </c>
      <c r="F71">
        <f t="shared" si="17"/>
        <v>2.8044052631269809E-7</v>
      </c>
      <c r="G71">
        <f t="shared" si="17"/>
        <v>4.8585687019208506E-7</v>
      </c>
      <c r="H71">
        <f t="shared" si="17"/>
        <v>8.1567187734754622E-7</v>
      </c>
      <c r="I71">
        <f t="shared" si="17"/>
        <v>1.3269733348762507E-6</v>
      </c>
      <c r="J71">
        <f t="shared" si="17"/>
        <v>2.0919363624856432E-6</v>
      </c>
      <c r="K71">
        <f t="shared" si="17"/>
        <v>3.1957611155270972E-6</v>
      </c>
      <c r="L71">
        <f t="shared" si="17"/>
        <v>4.7308558307402178E-6</v>
      </c>
      <c r="M71">
        <f t="shared" si="18"/>
        <v>6.7864817394675216E-6</v>
      </c>
      <c r="N71">
        <f t="shared" si="18"/>
        <v>9.4338555564582793E-6</v>
      </c>
      <c r="O71">
        <f t="shared" si="18"/>
        <v>1.2707886463665943E-5</v>
      </c>
      <c r="P71">
        <f t="shared" si="18"/>
        <v>1.658811340692072E-5</v>
      </c>
      <c r="Q71">
        <f t="shared" si="18"/>
        <v>2.0982644938632105E-5</v>
      </c>
      <c r="R71">
        <f t="shared" si="18"/>
        <v>2.5719530338115504E-5</v>
      </c>
      <c r="S71">
        <f t="shared" si="18"/>
        <v>3.0549591111821209E-5</v>
      </c>
      <c r="T71">
        <f t="shared" si="18"/>
        <v>3.5163114601372773E-5</v>
      </c>
      <c r="U71">
        <f t="shared" si="18"/>
        <v>3.922011262494776E-5</v>
      </c>
      <c r="V71">
        <f t="shared" si="18"/>
        <v>4.2390633117891784E-5</v>
      </c>
      <c r="W71">
        <f t="shared" si="19"/>
        <v>4.4398728773519231E-5</v>
      </c>
      <c r="X71">
        <f t="shared" si="19"/>
        <v>4.5062028123250097E-5</v>
      </c>
      <c r="Y71">
        <f t="shared" si="19"/>
        <v>4.4319055777387917E-5</v>
      </c>
      <c r="Z71">
        <f t="shared" si="19"/>
        <v>4.2238630639467471E-5</v>
      </c>
      <c r="AA71">
        <f t="shared" si="19"/>
        <v>3.900935119547606E-5</v>
      </c>
      <c r="AB71">
        <f t="shared" si="19"/>
        <v>3.4911393999126285E-5</v>
      </c>
      <c r="AC71">
        <f t="shared" si="19"/>
        <v>3.0276468694203385E-5</v>
      </c>
      <c r="AD71">
        <f t="shared" si="19"/>
        <v>2.5443849328945688E-5</v>
      </c>
      <c r="AE71">
        <f t="shared" si="19"/>
        <v>2.0720487866404056E-5</v>
      </c>
      <c r="AF71">
        <f t="shared" si="19"/>
        <v>1.6351466328744483E-5</v>
      </c>
      <c r="AG71">
        <f t="shared" si="20"/>
        <v>1.2504116122039296E-5</v>
      </c>
      <c r="AH71">
        <f t="shared" si="20"/>
        <v>9.2659266532866424E-6</v>
      </c>
      <c r="AI71">
        <f t="shared" si="20"/>
        <v>6.6537163705166082E-6</v>
      </c>
      <c r="AJ71">
        <f t="shared" si="20"/>
        <v>4.6299817196765413E-6</v>
      </c>
      <c r="AK71">
        <f t="shared" si="20"/>
        <v>3.1220067276845537E-6</v>
      </c>
      <c r="AL71">
        <f t="shared" si="20"/>
        <v>2.0399896264386371E-6</v>
      </c>
      <c r="AM71">
        <f t="shared" si="20"/>
        <v>1.2916999700799493E-6</v>
      </c>
      <c r="AN71">
        <f t="shared" si="20"/>
        <v>7.9256502985639364E-7</v>
      </c>
      <c r="AO71">
        <f t="shared" si="20"/>
        <v>4.7124605646378042E-7</v>
      </c>
      <c r="AP71">
        <f t="shared" si="20"/>
        <v>2.7151893267657575E-7</v>
      </c>
      <c r="AQ71">
        <f t="shared" si="21"/>
        <v>1.5159751165959237E-7</v>
      </c>
      <c r="AR71">
        <f t="shared" si="21"/>
        <v>8.2020723132376921E-8</v>
      </c>
      <c r="AS71">
        <f t="shared" si="21"/>
        <v>4.300259670199696E-8</v>
      </c>
      <c r="AT71">
        <f t="shared" si="21"/>
        <v>2.1847680421307427E-8</v>
      </c>
      <c r="AU71">
        <f t="shared" si="21"/>
        <v>1.0756117900221722E-8</v>
      </c>
      <c r="AV71">
        <f t="shared" si="21"/>
        <v>5.1315118905363283E-9</v>
      </c>
      <c r="AW71">
        <f t="shared" si="21"/>
        <v>2.3723277625708461E-9</v>
      </c>
      <c r="AX71">
        <f t="shared" si="21"/>
        <v>1.0627805777877084E-9</v>
      </c>
      <c r="AY71">
        <f t="shared" si="21"/>
        <v>4.6137291234003235E-10</v>
      </c>
      <c r="AZ71">
        <f t="shared" si="21"/>
        <v>1.9408865173312615E-10</v>
      </c>
      <c r="BA71">
        <f t="shared" si="21"/>
        <v>7.9120269764710912E-11</v>
      </c>
    </row>
    <row r="72" spans="1:53" hidden="1" x14ac:dyDescent="0.25">
      <c r="A72" s="1">
        <v>39</v>
      </c>
      <c r="B72" s="2">
        <f t="shared" si="6"/>
        <v>4.2752348168067726</v>
      </c>
      <c r="C72">
        <f t="shared" si="17"/>
        <v>1.816664323492727E-8</v>
      </c>
      <c r="D72">
        <f t="shared" si="17"/>
        <v>3.4784475872106729E-8</v>
      </c>
      <c r="E72">
        <f t="shared" si="17"/>
        <v>6.4541017288890438E-8</v>
      </c>
      <c r="F72">
        <f t="shared" si="17"/>
        <v>1.1604480821696407E-7</v>
      </c>
      <c r="G72">
        <f t="shared" si="17"/>
        <v>2.0218791322071356E-7</v>
      </c>
      <c r="H72">
        <f t="shared" si="17"/>
        <v>3.4136911864510354E-7</v>
      </c>
      <c r="I72">
        <f t="shared" si="17"/>
        <v>5.5851242344781816E-7</v>
      </c>
      <c r="J72">
        <f t="shared" si="17"/>
        <v>8.8548459711797799E-7</v>
      </c>
      <c r="K72">
        <f t="shared" si="17"/>
        <v>1.3604066631222663E-6</v>
      </c>
      <c r="L72">
        <f t="shared" si="17"/>
        <v>2.0253312129989738E-6</v>
      </c>
      <c r="M72">
        <f t="shared" si="18"/>
        <v>2.9218837111513443E-6</v>
      </c>
      <c r="N72">
        <f t="shared" si="18"/>
        <v>4.0847865267734799E-6</v>
      </c>
      <c r="O72">
        <f t="shared" si="18"/>
        <v>5.5336969144879237E-6</v>
      </c>
      <c r="P72">
        <f t="shared" si="18"/>
        <v>7.2644198866766114E-6</v>
      </c>
      <c r="Q72">
        <f t="shared" si="18"/>
        <v>9.241151170373203E-6</v>
      </c>
      <c r="R72">
        <f t="shared" si="18"/>
        <v>1.1391758689986871E-5</v>
      </c>
      <c r="S72">
        <f t="shared" si="18"/>
        <v>1.3608023325881995E-5</v>
      </c>
      <c r="T72">
        <f t="shared" si="18"/>
        <v>1.5752115205116694E-5</v>
      </c>
      <c r="U72">
        <f t="shared" si="18"/>
        <v>1.7669419426580327E-5</v>
      </c>
      <c r="V72">
        <f t="shared" si="18"/>
        <v>1.9206368030142862E-5</v>
      </c>
      <c r="W72">
        <f t="shared" si="19"/>
        <v>2.0230554160288608E-5</v>
      </c>
      <c r="X72">
        <f t="shared" si="19"/>
        <v>2.0649516062478295E-5</v>
      </c>
      <c r="Y72">
        <f t="shared" si="19"/>
        <v>2.042450514583118E-5</v>
      </c>
      <c r="Z72">
        <f t="shared" si="19"/>
        <v>1.9576397469537749E-5</v>
      </c>
      <c r="AA72">
        <f t="shared" si="19"/>
        <v>1.8182498957391222E-5</v>
      </c>
      <c r="AB72">
        <f t="shared" si="19"/>
        <v>1.6364921811262198E-5</v>
      </c>
      <c r="AC72">
        <f t="shared" si="19"/>
        <v>1.4272953934090262E-5</v>
      </c>
      <c r="AD72">
        <f t="shared" si="19"/>
        <v>1.206294533269602E-5</v>
      </c>
      <c r="AE72">
        <f t="shared" si="19"/>
        <v>9.8794421235660851E-6</v>
      </c>
      <c r="AF72">
        <f t="shared" si="19"/>
        <v>7.8406316106919243E-6</v>
      </c>
      <c r="AG72">
        <f t="shared" si="20"/>
        <v>6.0298879655441254E-6</v>
      </c>
      <c r="AH72">
        <f t="shared" si="20"/>
        <v>4.4937302927012713E-6</v>
      </c>
      <c r="AI72">
        <f t="shared" si="20"/>
        <v>3.2452213858195961E-6</v>
      </c>
      <c r="AJ72">
        <f t="shared" si="20"/>
        <v>2.2710213735647697E-6</v>
      </c>
      <c r="AK72">
        <f t="shared" si="20"/>
        <v>1.5400601379526131E-6</v>
      </c>
      <c r="AL72">
        <f t="shared" si="20"/>
        <v>1.0120307406557421E-6</v>
      </c>
      <c r="AM72">
        <f t="shared" si="20"/>
        <v>6.4445009958341667E-7</v>
      </c>
      <c r="AN72">
        <f t="shared" si="20"/>
        <v>3.9767148577005113E-7</v>
      </c>
      <c r="AO72">
        <f t="shared" si="20"/>
        <v>2.3779305956644751E-7</v>
      </c>
      <c r="AP72">
        <f t="shared" si="20"/>
        <v>1.3778865592157109E-7</v>
      </c>
      <c r="AQ72">
        <f t="shared" si="21"/>
        <v>7.7369059730710057E-8</v>
      </c>
      <c r="AR72">
        <f t="shared" si="21"/>
        <v>4.2097929853671447E-8</v>
      </c>
      <c r="AS72">
        <f t="shared" si="21"/>
        <v>2.219697165648034E-8</v>
      </c>
      <c r="AT72">
        <f t="shared" si="21"/>
        <v>1.1341389896654391E-8</v>
      </c>
      <c r="AU72">
        <f t="shared" si="21"/>
        <v>5.6153702987342854E-9</v>
      </c>
      <c r="AV72">
        <f t="shared" si="21"/>
        <v>2.6942015786815023E-9</v>
      </c>
      <c r="AW72">
        <f t="shared" si="21"/>
        <v>1.2526257584884573E-9</v>
      </c>
      <c r="AX72">
        <f t="shared" si="21"/>
        <v>5.6435471276910943E-10</v>
      </c>
      <c r="AY72">
        <f t="shared" si="21"/>
        <v>2.463896951126697E-10</v>
      </c>
      <c r="AZ72">
        <f t="shared" si="21"/>
        <v>1.0423954099183938E-10</v>
      </c>
      <c r="BA72">
        <f t="shared" si="21"/>
        <v>4.2734832556917909E-11</v>
      </c>
    </row>
    <row r="73" spans="1:53" hidden="1" x14ac:dyDescent="0.25">
      <c r="A73" s="1">
        <v>40</v>
      </c>
      <c r="B73" s="2">
        <f t="shared" si="6"/>
        <v>4.4664214847321704</v>
      </c>
      <c r="C73">
        <f t="shared" si="17"/>
        <v>7.1220865659144623E-9</v>
      </c>
      <c r="D73">
        <f t="shared" si="17"/>
        <v>1.371449828803687E-8</v>
      </c>
      <c r="E73">
        <f t="shared" si="17"/>
        <v>2.5591289354775515E-8</v>
      </c>
      <c r="F73">
        <f t="shared" si="17"/>
        <v>4.6274738809446573E-8</v>
      </c>
      <c r="G73">
        <f t="shared" si="17"/>
        <v>8.108403474308847E-8</v>
      </c>
      <c r="H73">
        <f t="shared" si="17"/>
        <v>1.3767855274706772E-7</v>
      </c>
      <c r="I73">
        <f t="shared" si="17"/>
        <v>2.2653577648102037E-7</v>
      </c>
      <c r="J73">
        <f t="shared" si="17"/>
        <v>3.6119927721203633E-7</v>
      </c>
      <c r="K73">
        <f t="shared" si="17"/>
        <v>5.5808006821278401E-7</v>
      </c>
      <c r="L73">
        <f t="shared" si="17"/>
        <v>8.3557553854424798E-7</v>
      </c>
      <c r="M73">
        <f t="shared" si="18"/>
        <v>1.2123122377302812E-6</v>
      </c>
      <c r="N73">
        <f t="shared" si="18"/>
        <v>1.7044443533343925E-6</v>
      </c>
      <c r="O73">
        <f t="shared" si="18"/>
        <v>2.3221524657753386E-6</v>
      </c>
      <c r="P73">
        <f t="shared" si="18"/>
        <v>3.0657603341045948E-6</v>
      </c>
      <c r="Q73">
        <f t="shared" si="18"/>
        <v>3.9221593746653221E-6</v>
      </c>
      <c r="R73">
        <f t="shared" si="18"/>
        <v>4.8624129483961922E-6</v>
      </c>
      <c r="S73">
        <f t="shared" si="18"/>
        <v>5.8414142746973101E-6</v>
      </c>
      <c r="T73">
        <f t="shared" si="18"/>
        <v>6.8002321964456707E-6</v>
      </c>
      <c r="U73">
        <f t="shared" si="18"/>
        <v>7.6713013383689287E-6</v>
      </c>
      <c r="V73">
        <f t="shared" si="18"/>
        <v>8.3859816825901474E-6</v>
      </c>
      <c r="W73">
        <f t="shared" si="19"/>
        <v>8.8833820901370749E-6</v>
      </c>
      <c r="X73">
        <f t="shared" si="19"/>
        <v>9.1188976504571206E-6</v>
      </c>
      <c r="Y73">
        <f t="shared" si="19"/>
        <v>9.0708065783289744E-6</v>
      </c>
      <c r="Z73">
        <f t="shared" si="19"/>
        <v>8.743574957816894E-6</v>
      </c>
      <c r="AA73">
        <f t="shared" si="19"/>
        <v>8.1671726203915729E-6</v>
      </c>
      <c r="AB73">
        <f t="shared" si="19"/>
        <v>7.3925453656148164E-6</v>
      </c>
      <c r="AC73">
        <f t="shared" si="19"/>
        <v>6.4841914305822904E-6</v>
      </c>
      <c r="AD73">
        <f t="shared" si="19"/>
        <v>5.5113402496551028E-6</v>
      </c>
      <c r="AE73">
        <f t="shared" si="19"/>
        <v>4.539397199470253E-6</v>
      </c>
      <c r="AF73">
        <f t="shared" si="19"/>
        <v>3.6230865877016425E-6</v>
      </c>
      <c r="AG73">
        <f t="shared" si="20"/>
        <v>2.8021979263415262E-6</v>
      </c>
      <c r="AH73">
        <f t="shared" si="20"/>
        <v>2.1001894257405362E-6</v>
      </c>
      <c r="AI73">
        <f t="shared" si="20"/>
        <v>1.5253085118159846E-6</v>
      </c>
      <c r="AJ73">
        <f t="shared" si="20"/>
        <v>1.0734862503882332E-6</v>
      </c>
      <c r="AK73">
        <f t="shared" si="20"/>
        <v>7.3210748105767763E-7</v>
      </c>
      <c r="AL73">
        <f t="shared" si="20"/>
        <v>4.8382997322661596E-7</v>
      </c>
      <c r="AM73">
        <f t="shared" si="20"/>
        <v>3.0984911506033437E-7</v>
      </c>
      <c r="AN73">
        <f t="shared" si="20"/>
        <v>1.9228584584339894E-7</v>
      </c>
      <c r="AO73">
        <f t="shared" si="20"/>
        <v>1.1563357160207355E-7</v>
      </c>
      <c r="AP73">
        <f t="shared" si="20"/>
        <v>6.7384518451919516E-8</v>
      </c>
      <c r="AQ73">
        <f t="shared" si="21"/>
        <v>3.8051859486744651E-8</v>
      </c>
      <c r="AR73">
        <f t="shared" si="21"/>
        <v>2.0822420169338609E-8</v>
      </c>
      <c r="AS73">
        <f t="shared" si="21"/>
        <v>1.1041449569547197E-8</v>
      </c>
      <c r="AT73">
        <f t="shared" si="21"/>
        <v>5.6736239447347374E-9</v>
      </c>
      <c r="AU73">
        <f t="shared" si="21"/>
        <v>2.8251048227182074E-9</v>
      </c>
      <c r="AV73">
        <f t="shared" si="21"/>
        <v>1.3631641385206356E-9</v>
      </c>
      <c r="AW73">
        <f t="shared" si="21"/>
        <v>6.3738421568936114E-10</v>
      </c>
      <c r="AX73">
        <f t="shared" si="21"/>
        <v>2.8879789432357172E-10</v>
      </c>
      <c r="AY73">
        <f t="shared" si="21"/>
        <v>1.2680205927765576E-10</v>
      </c>
      <c r="AZ73">
        <f t="shared" si="21"/>
        <v>5.3950833289692688E-11</v>
      </c>
      <c r="BA73">
        <f t="shared" si="21"/>
        <v>2.2243830309629943E-11</v>
      </c>
    </row>
    <row r="74" spans="1:53" hidden="1" x14ac:dyDescent="0.25">
      <c r="A74" s="1">
        <v>41</v>
      </c>
      <c r="B74" s="2">
        <f t="shared" si="6"/>
        <v>4.6576081526575672</v>
      </c>
      <c r="C74">
        <f t="shared" ref="C74:L84" si="22">SQRT($I$4*$J$4-$K$4^2)/PI()*EXP(-($I$4*((C$33-$C$4)^2)+2*$K$4*(C$33-$C$4)*($B74-$C$5)+$J$4*(($B74-$C$5)^2)))</f>
        <v>2.6907486313848963E-9</v>
      </c>
      <c r="D74">
        <f t="shared" si="22"/>
        <v>5.2108395978688796E-9</v>
      </c>
      <c r="E74">
        <f t="shared" si="22"/>
        <v>9.7787163225246988E-9</v>
      </c>
      <c r="F74">
        <f t="shared" si="22"/>
        <v>1.7782612156111845E-8</v>
      </c>
      <c r="G74">
        <f t="shared" si="22"/>
        <v>3.1336380470744899E-8</v>
      </c>
      <c r="H74">
        <f t="shared" si="22"/>
        <v>5.3510828203574893E-8</v>
      </c>
      <c r="I74">
        <f t="shared" si="22"/>
        <v>8.8547046545164024E-8</v>
      </c>
      <c r="J74">
        <f t="shared" si="22"/>
        <v>1.4198617292928313E-7</v>
      </c>
      <c r="K74">
        <f t="shared" si="22"/>
        <v>2.2062645811444344E-7</v>
      </c>
      <c r="L74">
        <f t="shared" si="22"/>
        <v>3.3220693828445668E-7</v>
      </c>
      <c r="M74">
        <f t="shared" ref="M74:V84" si="23">SQRT($I$4*$J$4-$K$4^2)/PI()*EXP(-($I$4*((M$33-$C$4)^2)+2*$K$4*(M$33-$C$4)*($B74-$C$5)+$J$4*(($B74-$C$5)^2)))</f>
        <v>4.8472940992001262E-7</v>
      </c>
      <c r="N74">
        <f t="shared" si="23"/>
        <v>6.8537712955802592E-7</v>
      </c>
      <c r="O74">
        <f t="shared" si="23"/>
        <v>9.3907312610735048E-7</v>
      </c>
      <c r="P74">
        <f t="shared" si="23"/>
        <v>1.2468344188092292E-6</v>
      </c>
      <c r="Q74">
        <f t="shared" si="23"/>
        <v>1.604197069700155E-6</v>
      </c>
      <c r="R74">
        <f t="shared" si="23"/>
        <v>2.0000747221721181E-6</v>
      </c>
      <c r="S74">
        <f t="shared" si="23"/>
        <v>2.4164303934050718E-6</v>
      </c>
      <c r="T74">
        <f t="shared" si="23"/>
        <v>2.8290584750748527E-6</v>
      </c>
      <c r="U74">
        <f t="shared" si="23"/>
        <v>3.2095867976117378E-6</v>
      </c>
      <c r="V74">
        <f t="shared" si="23"/>
        <v>3.5285468795595268E-6</v>
      </c>
      <c r="W74">
        <f t="shared" ref="W74:AF84" si="24">SQRT($I$4*$J$4-$K$4^2)/PI()*EXP(-($I$4*((W$33-$C$4)^2)+2*$K$4*(W$33-$C$4)*($B74-$C$5)+$J$4*(($B74-$C$5)^2)))</f>
        <v>3.7590856810634023E-6</v>
      </c>
      <c r="X74">
        <f t="shared" si="24"/>
        <v>3.8806826040523178E-6</v>
      </c>
      <c r="Y74">
        <f t="shared" si="24"/>
        <v>3.8821614169814559E-6</v>
      </c>
      <c r="Z74">
        <f t="shared" si="24"/>
        <v>3.7633847467490204E-6</v>
      </c>
      <c r="AA74">
        <f t="shared" si="24"/>
        <v>3.5352751277715279E-6</v>
      </c>
      <c r="AB74">
        <f t="shared" si="24"/>
        <v>3.218158139172828E-6</v>
      </c>
      <c r="AC74">
        <f t="shared" si="24"/>
        <v>2.8387759095239686E-6</v>
      </c>
      <c r="AD74">
        <f t="shared" si="24"/>
        <v>2.4265788437492131E-6</v>
      </c>
      <c r="AE74">
        <f t="shared" si="24"/>
        <v>2.0100056064462157E-6</v>
      </c>
      <c r="AF74">
        <f t="shared" si="24"/>
        <v>1.6133912483403888E-6</v>
      </c>
      <c r="AG74">
        <f t="shared" ref="AG74:AP84" si="25">SQRT($I$4*$J$4-$K$4^2)/PI()*EXP(-($I$4*((AG$33-$C$4)^2)+2*$K$4*(AG$33-$C$4)*($B74-$C$5)+$J$4*(($B74-$C$5)^2)))</f>
        <v>1.254936326618821E-6</v>
      </c>
      <c r="AH74">
        <f t="shared" si="25"/>
        <v>9.4589570020165661E-7</v>
      </c>
      <c r="AI74">
        <f t="shared" si="25"/>
        <v>6.9088279510819044E-7</v>
      </c>
      <c r="AJ74">
        <f t="shared" si="25"/>
        <v>4.8899573383646068E-7</v>
      </c>
      <c r="AK74">
        <f t="shared" si="25"/>
        <v>3.3538630807958609E-7</v>
      </c>
      <c r="AL74">
        <f t="shared" si="25"/>
        <v>2.2290774252258943E-7</v>
      </c>
      <c r="AM74">
        <f t="shared" si="25"/>
        <v>1.4356366754588095E-7</v>
      </c>
      <c r="AN74">
        <f t="shared" si="25"/>
        <v>8.9599069918269615E-8</v>
      </c>
      <c r="AO74">
        <f t="shared" si="25"/>
        <v>5.4187863060772114E-8</v>
      </c>
      <c r="AP74">
        <f t="shared" si="25"/>
        <v>3.1757047151457984E-8</v>
      </c>
      <c r="AQ74">
        <f t="shared" ref="AQ74:BA84" si="26">SQRT($I$4*$J$4-$K$4^2)/PI()*EXP(-($I$4*((AQ$33-$C$4)^2)+2*$K$4*(AQ$33-$C$4)*($B74-$C$5)+$J$4*(($B74-$C$5)^2)))</f>
        <v>1.8035067380649248E-8</v>
      </c>
      <c r="AR74">
        <f t="shared" si="26"/>
        <v>9.9251022744791429E-9</v>
      </c>
      <c r="AS74">
        <f t="shared" si="26"/>
        <v>5.2928767156150319E-9</v>
      </c>
      <c r="AT74">
        <f t="shared" si="26"/>
        <v>2.7351939805433972E-9</v>
      </c>
      <c r="AU74">
        <f t="shared" si="26"/>
        <v>1.3696955723067245E-9</v>
      </c>
      <c r="AV74">
        <f t="shared" si="26"/>
        <v>6.6465999172770445E-10</v>
      </c>
      <c r="AW74">
        <f t="shared" si="26"/>
        <v>3.1254646401833797E-10</v>
      </c>
      <c r="AX74">
        <f t="shared" si="26"/>
        <v>1.4241941846146545E-10</v>
      </c>
      <c r="AY74">
        <f t="shared" si="26"/>
        <v>6.2887364184853715E-11</v>
      </c>
      <c r="AZ74">
        <f t="shared" si="26"/>
        <v>2.6908974234255801E-11</v>
      </c>
      <c r="BA74">
        <f t="shared" si="26"/>
        <v>1.1157591560532393E-11</v>
      </c>
    </row>
    <row r="75" spans="1:53" hidden="1" x14ac:dyDescent="0.25">
      <c r="A75" s="1">
        <v>42</v>
      </c>
      <c r="B75" s="2">
        <f t="shared" si="6"/>
        <v>4.848794820582965</v>
      </c>
      <c r="C75">
        <f t="shared" si="22"/>
        <v>9.7965312334061984E-10</v>
      </c>
      <c r="D75">
        <f t="shared" si="22"/>
        <v>1.9079579733712486E-9</v>
      </c>
      <c r="E75">
        <f t="shared" si="22"/>
        <v>3.6008484808962852E-9</v>
      </c>
      <c r="F75">
        <f t="shared" si="22"/>
        <v>6.5853741755882665E-9</v>
      </c>
      <c r="G75">
        <f t="shared" si="22"/>
        <v>1.1670665762642434E-8</v>
      </c>
      <c r="H75">
        <f t="shared" si="22"/>
        <v>2.004242987414177E-8</v>
      </c>
      <c r="I75">
        <f t="shared" si="22"/>
        <v>3.3353750839373475E-8</v>
      </c>
      <c r="J75">
        <f t="shared" si="22"/>
        <v>5.3787152550853523E-8</v>
      </c>
      <c r="K75">
        <f t="shared" si="22"/>
        <v>8.4052762828167884E-8</v>
      </c>
      <c r="L75">
        <f t="shared" si="22"/>
        <v>1.2728141627693222E-7</v>
      </c>
      <c r="M75">
        <f t="shared" si="23"/>
        <v>1.8677449507415786E-7</v>
      </c>
      <c r="N75">
        <f t="shared" si="23"/>
        <v>2.6558877085353172E-7</v>
      </c>
      <c r="O75">
        <f t="shared" si="23"/>
        <v>3.6596656790486807E-7</v>
      </c>
      <c r="P75">
        <f t="shared" si="23"/>
        <v>4.8866663046765478E-7</v>
      </c>
      <c r="Q75">
        <f t="shared" si="23"/>
        <v>6.323004920650543E-7</v>
      </c>
      <c r="R75">
        <f t="shared" si="23"/>
        <v>7.9281876771947535E-7</v>
      </c>
      <c r="S75">
        <f t="shared" si="23"/>
        <v>9.6330516948545593E-7</v>
      </c>
      <c r="T75">
        <f t="shared" si="23"/>
        <v>1.1342098788448698E-6</v>
      </c>
      <c r="U75">
        <f t="shared" si="23"/>
        <v>1.2940841753128979E-6</v>
      </c>
      <c r="V75">
        <f t="shared" si="23"/>
        <v>1.4307745069860427E-6</v>
      </c>
      <c r="W75">
        <f t="shared" si="24"/>
        <v>1.5329197742538216E-6</v>
      </c>
      <c r="X75">
        <f t="shared" si="24"/>
        <v>1.5915021356726129E-6</v>
      </c>
      <c r="Y75">
        <f t="shared" si="24"/>
        <v>1.601159480175376E-6</v>
      </c>
      <c r="Z75">
        <f t="shared" si="24"/>
        <v>1.5609950378956508E-6</v>
      </c>
      <c r="AA75">
        <f t="shared" si="24"/>
        <v>1.4747147365483597E-6</v>
      </c>
      <c r="AB75">
        <f t="shared" si="24"/>
        <v>1.3500631513422399E-6</v>
      </c>
      <c r="AC75">
        <f t="shared" si="24"/>
        <v>1.1976770112443168E-6</v>
      </c>
      <c r="AD75">
        <f t="shared" si="24"/>
        <v>1.0295914075698761E-6</v>
      </c>
      <c r="AE75">
        <f t="shared" si="24"/>
        <v>8.5768866692835407E-7</v>
      </c>
      <c r="AF75">
        <f t="shared" si="24"/>
        <v>6.9236323702976726E-7</v>
      </c>
      <c r="AG75">
        <f t="shared" si="25"/>
        <v>5.4159905014898608E-7</v>
      </c>
      <c r="AH75">
        <f t="shared" si="25"/>
        <v>4.1054555505820694E-7</v>
      </c>
      <c r="AI75">
        <f t="shared" si="25"/>
        <v>3.015673925405744E-7</v>
      </c>
      <c r="AJ75">
        <f t="shared" si="25"/>
        <v>2.1465794806886554E-7</v>
      </c>
      <c r="AK75">
        <f t="shared" si="25"/>
        <v>1.4806388222088546E-7</v>
      </c>
      <c r="AL75">
        <f t="shared" si="25"/>
        <v>9.8967102910998296E-8</v>
      </c>
      <c r="AM75">
        <f t="shared" si="25"/>
        <v>6.4102083896791114E-8</v>
      </c>
      <c r="AN75">
        <f t="shared" si="25"/>
        <v>4.0233980895663645E-8</v>
      </c>
      <c r="AO75">
        <f t="shared" si="25"/>
        <v>2.4471096441849462E-8</v>
      </c>
      <c r="AP75">
        <f t="shared" si="25"/>
        <v>1.4422927417841683E-8</v>
      </c>
      <c r="AQ75">
        <f t="shared" si="26"/>
        <v>8.2374534508958972E-9</v>
      </c>
      <c r="AR75">
        <f t="shared" si="26"/>
        <v>4.5590262736974488E-9</v>
      </c>
      <c r="AS75">
        <f t="shared" si="26"/>
        <v>2.4450671045074188E-9</v>
      </c>
      <c r="AT75">
        <f t="shared" si="26"/>
        <v>1.2707175750632386E-9</v>
      </c>
      <c r="AU75">
        <f t="shared" si="26"/>
        <v>6.3995119823737243E-10</v>
      </c>
      <c r="AV75">
        <f t="shared" si="26"/>
        <v>3.1230881512123167E-10</v>
      </c>
      <c r="AW75">
        <f t="shared" si="26"/>
        <v>1.4769343621614338E-10</v>
      </c>
      <c r="AX75">
        <f t="shared" si="26"/>
        <v>6.7682705907076912E-11</v>
      </c>
      <c r="AY75">
        <f t="shared" si="26"/>
        <v>3.0056181013527146E-11</v>
      </c>
      <c r="AZ75">
        <f t="shared" si="26"/>
        <v>1.2933898491194112E-11</v>
      </c>
      <c r="BA75">
        <f t="shared" si="26"/>
        <v>5.3934252601577279E-12</v>
      </c>
    </row>
    <row r="76" spans="1:53" hidden="1" x14ac:dyDescent="0.25">
      <c r="A76" s="1">
        <v>43</v>
      </c>
      <c r="B76" s="2">
        <f t="shared" si="6"/>
        <v>5.0399814885083627</v>
      </c>
      <c r="C76">
        <f t="shared" si="22"/>
        <v>3.4372003410209537E-10</v>
      </c>
      <c r="D76">
        <f t="shared" si="22"/>
        <v>6.7322963212914322E-10</v>
      </c>
      <c r="E76">
        <f t="shared" si="22"/>
        <v>1.2777949464496084E-9</v>
      </c>
      <c r="F76">
        <f t="shared" si="22"/>
        <v>2.3501667379955481E-9</v>
      </c>
      <c r="G76">
        <f t="shared" si="22"/>
        <v>4.1886661846810309E-9</v>
      </c>
      <c r="H76">
        <f t="shared" si="22"/>
        <v>7.2342313293880841E-9</v>
      </c>
      <c r="I76">
        <f t="shared" si="22"/>
        <v>1.2107336128876159E-8</v>
      </c>
      <c r="J76">
        <f t="shared" si="22"/>
        <v>1.9635608900804841E-8</v>
      </c>
      <c r="K76">
        <f t="shared" si="22"/>
        <v>3.0858848270840548E-8</v>
      </c>
      <c r="L76">
        <f t="shared" si="22"/>
        <v>4.6995320847570675E-8</v>
      </c>
      <c r="M76">
        <f t="shared" si="23"/>
        <v>6.9353613043443538E-8</v>
      </c>
      <c r="N76">
        <f t="shared" si="23"/>
        <v>9.9179777377827044E-8</v>
      </c>
      <c r="O76">
        <f t="shared" si="23"/>
        <v>1.3744113513884512E-7</v>
      </c>
      <c r="P76">
        <f t="shared" si="23"/>
        <v>1.84565236596808E-7</v>
      </c>
      <c r="Q76">
        <f t="shared" si="23"/>
        <v>2.4017214690004447E-7</v>
      </c>
      <c r="R76">
        <f t="shared" si="23"/>
        <v>3.0285513584142139E-7</v>
      </c>
      <c r="S76">
        <f t="shared" si="23"/>
        <v>3.7007249797317287E-7</v>
      </c>
      <c r="T76">
        <f t="shared" si="23"/>
        <v>4.3820592608007325E-7</v>
      </c>
      <c r="U76">
        <f t="shared" si="23"/>
        <v>5.0281618361769414E-7</v>
      </c>
      <c r="V76">
        <f t="shared" si="23"/>
        <v>5.5908754124679966E-7</v>
      </c>
      <c r="W76">
        <f t="shared" si="24"/>
        <v>6.0240691396921282E-7</v>
      </c>
      <c r="X76">
        <f t="shared" si="24"/>
        <v>6.2898407094618478E-7</v>
      </c>
      <c r="Y76">
        <f t="shared" si="24"/>
        <v>6.3639815588528076E-7</v>
      </c>
      <c r="Z76">
        <f t="shared" si="24"/>
        <v>6.2396142907181932E-7</v>
      </c>
      <c r="AA76">
        <f t="shared" si="24"/>
        <v>5.9282449738451134E-7</v>
      </c>
      <c r="AB76">
        <f t="shared" si="24"/>
        <v>5.4580072167694164E-7</v>
      </c>
      <c r="AC76">
        <f t="shared" si="24"/>
        <v>4.8694693378085728E-7</v>
      </c>
      <c r="AD76">
        <f t="shared" si="24"/>
        <v>4.2098704501739593E-7</v>
      </c>
      <c r="AE76">
        <f t="shared" si="24"/>
        <v>3.5269182531835021E-7</v>
      </c>
      <c r="AF76">
        <f t="shared" si="24"/>
        <v>2.8632655105406318E-7</v>
      </c>
      <c r="AG76">
        <f t="shared" si="25"/>
        <v>2.2525135720642967E-7</v>
      </c>
      <c r="AH76">
        <f t="shared" si="25"/>
        <v>1.7171679615635125E-7</v>
      </c>
      <c r="AI76">
        <f t="shared" si="25"/>
        <v>1.268521123691312E-7</v>
      </c>
      <c r="AJ76">
        <f t="shared" si="25"/>
        <v>9.0807599730441803E-8</v>
      </c>
      <c r="AK76">
        <f t="shared" si="25"/>
        <v>6.2992124417648546E-8</v>
      </c>
      <c r="AL76">
        <f t="shared" si="25"/>
        <v>4.2343804926629959E-8</v>
      </c>
      <c r="AM76">
        <f t="shared" si="25"/>
        <v>2.758246472046461E-8</v>
      </c>
      <c r="AN76">
        <f t="shared" si="25"/>
        <v>1.7410683814201349E-8</v>
      </c>
      <c r="AO76">
        <f t="shared" si="25"/>
        <v>1.0649719078389322E-8</v>
      </c>
      <c r="AP76">
        <f t="shared" si="25"/>
        <v>6.3124803824349676E-9</v>
      </c>
      <c r="AQ76">
        <f t="shared" si="26"/>
        <v>3.6257804008100476E-9</v>
      </c>
      <c r="AR76">
        <f t="shared" si="26"/>
        <v>2.0180992396592717E-9</v>
      </c>
      <c r="AS76">
        <f t="shared" si="26"/>
        <v>1.0884866492870007E-9</v>
      </c>
      <c r="AT76">
        <f t="shared" si="26"/>
        <v>5.6890959776964761E-10</v>
      </c>
      <c r="AU76">
        <f t="shared" si="26"/>
        <v>2.8813962104374359E-10</v>
      </c>
      <c r="AV76">
        <f t="shared" si="26"/>
        <v>1.4141721065173438E-10</v>
      </c>
      <c r="AW76">
        <f t="shared" si="26"/>
        <v>6.7257561772531067E-11</v>
      </c>
      <c r="AX76">
        <f t="shared" si="26"/>
        <v>3.0996991029549293E-11</v>
      </c>
      <c r="AY76">
        <f t="shared" si="26"/>
        <v>1.3843232791728193E-11</v>
      </c>
      <c r="AZ76">
        <f t="shared" si="26"/>
        <v>5.9909414174794766E-12</v>
      </c>
      <c r="BA76">
        <f t="shared" si="26"/>
        <v>2.5124196975952354E-12</v>
      </c>
    </row>
    <row r="77" spans="1:53" hidden="1" x14ac:dyDescent="0.25">
      <c r="A77" s="1">
        <v>44</v>
      </c>
      <c r="B77" s="2">
        <f t="shared" si="6"/>
        <v>5.2311681564337595</v>
      </c>
      <c r="C77">
        <f t="shared" si="22"/>
        <v>1.1621727399212674E-10</v>
      </c>
      <c r="D77">
        <f t="shared" si="22"/>
        <v>2.2892380795189539E-10</v>
      </c>
      <c r="E77">
        <f t="shared" si="22"/>
        <v>4.3696917788104638E-10</v>
      </c>
      <c r="F77">
        <f t="shared" si="22"/>
        <v>8.0825837597038559E-10</v>
      </c>
      <c r="G77">
        <f t="shared" si="22"/>
        <v>1.4487357904057794E-9</v>
      </c>
      <c r="H77">
        <f t="shared" si="22"/>
        <v>2.5163307851114301E-9</v>
      </c>
      <c r="I77">
        <f t="shared" si="22"/>
        <v>4.2353161912418525E-9</v>
      </c>
      <c r="J77">
        <f t="shared" si="22"/>
        <v>6.9078597622319892E-9</v>
      </c>
      <c r="K77">
        <f t="shared" si="22"/>
        <v>1.0917941229206214E-8</v>
      </c>
      <c r="L77">
        <f t="shared" si="22"/>
        <v>1.6721589519913896E-8</v>
      </c>
      <c r="M77">
        <f t="shared" si="23"/>
        <v>2.4817265697099809E-8</v>
      </c>
      <c r="N77">
        <f t="shared" si="23"/>
        <v>3.5691916524713828E-8</v>
      </c>
      <c r="O77">
        <f t="shared" si="23"/>
        <v>4.9742243938490341E-8</v>
      </c>
      <c r="P77">
        <f t="shared" si="23"/>
        <v>6.717697499066642E-8</v>
      </c>
      <c r="Q77">
        <f t="shared" si="23"/>
        <v>8.7913400732378167E-8</v>
      </c>
      <c r="R77">
        <f t="shared" si="23"/>
        <v>1.1148829731355317E-7</v>
      </c>
      <c r="S77">
        <f t="shared" si="23"/>
        <v>1.370070930182859E-7</v>
      </c>
      <c r="T77">
        <f t="shared" si="23"/>
        <v>1.6315349694057514E-7</v>
      </c>
      <c r="U77">
        <f t="shared" si="23"/>
        <v>1.8827353968231072E-7</v>
      </c>
      <c r="V77">
        <f t="shared" si="23"/>
        <v>2.1053376397396402E-7</v>
      </c>
      <c r="W77">
        <f t="shared" si="24"/>
        <v>2.2813598196520848E-7</v>
      </c>
      <c r="X77">
        <f t="shared" si="24"/>
        <v>2.3955508154823795E-7</v>
      </c>
      <c r="Y77">
        <f t="shared" si="24"/>
        <v>2.4375669527008962E-7</v>
      </c>
      <c r="Z77">
        <f t="shared" si="24"/>
        <v>2.4035174802335343E-7</v>
      </c>
      <c r="AA77">
        <f t="shared" si="24"/>
        <v>2.2965588710996271E-7</v>
      </c>
      <c r="AB77">
        <f t="shared" si="24"/>
        <v>2.1264121580396137E-7</v>
      </c>
      <c r="AC77">
        <f t="shared" si="24"/>
        <v>1.9079055739083068E-7</v>
      </c>
      <c r="AD77">
        <f t="shared" si="24"/>
        <v>1.6588452477712359E-7</v>
      </c>
      <c r="AE77">
        <f t="shared" si="24"/>
        <v>1.3976371478213845E-7</v>
      </c>
      <c r="AF77">
        <f t="shared" si="24"/>
        <v>1.1410970001776031E-7</v>
      </c>
      <c r="AG77">
        <f t="shared" si="25"/>
        <v>9.0279731376863846E-8</v>
      </c>
      <c r="AH77">
        <f t="shared" si="25"/>
        <v>6.9214568991741786E-8</v>
      </c>
      <c r="AI77">
        <f t="shared" si="25"/>
        <v>5.1421453165113115E-8</v>
      </c>
      <c r="AJ77">
        <f t="shared" si="25"/>
        <v>3.701951617709409E-8</v>
      </c>
      <c r="AK77">
        <f t="shared" si="25"/>
        <v>2.5825973287691651E-8</v>
      </c>
      <c r="AL77">
        <f t="shared" si="25"/>
        <v>1.7459114879929114E-8</v>
      </c>
      <c r="AM77">
        <f t="shared" si="25"/>
        <v>1.1437400103076091E-8</v>
      </c>
      <c r="AN77">
        <f t="shared" si="25"/>
        <v>7.2605909705869777E-9</v>
      </c>
      <c r="AO77">
        <f t="shared" si="25"/>
        <v>4.466385395007815E-9</v>
      </c>
      <c r="AP77">
        <f t="shared" si="25"/>
        <v>2.6624409495852025E-9</v>
      </c>
      <c r="AQ77">
        <f t="shared" si="26"/>
        <v>1.5379539789924229E-9</v>
      </c>
      <c r="AR77">
        <f t="shared" si="26"/>
        <v>8.6088722234093937E-10</v>
      </c>
      <c r="AS77">
        <f t="shared" si="26"/>
        <v>4.669697518085628E-10</v>
      </c>
      <c r="AT77">
        <f t="shared" si="26"/>
        <v>2.4545438998670693E-10</v>
      </c>
      <c r="AU77">
        <f t="shared" si="26"/>
        <v>1.2502372207693533E-10</v>
      </c>
      <c r="AV77">
        <f t="shared" si="26"/>
        <v>6.1709724914011695E-11</v>
      </c>
      <c r="AW77">
        <f t="shared" si="26"/>
        <v>2.9515786679125295E-11</v>
      </c>
      <c r="AX77">
        <f t="shared" si="26"/>
        <v>1.3680270395185582E-11</v>
      </c>
      <c r="AY77">
        <f t="shared" si="26"/>
        <v>6.1443304720489013E-12</v>
      </c>
      <c r="AZ77">
        <f t="shared" si="26"/>
        <v>2.6742008156045931E-12</v>
      </c>
      <c r="BA77">
        <f t="shared" si="26"/>
        <v>1.1278543887918285E-12</v>
      </c>
    </row>
    <row r="78" spans="1:53" hidden="1" x14ac:dyDescent="0.25">
      <c r="A78" s="1">
        <v>45</v>
      </c>
      <c r="B78" s="2">
        <f t="shared" si="6"/>
        <v>5.4223548243591582</v>
      </c>
      <c r="C78">
        <f t="shared" si="22"/>
        <v>3.7867779697977371E-11</v>
      </c>
      <c r="D78">
        <f t="shared" si="22"/>
        <v>7.5015674585567916E-11</v>
      </c>
      <c r="E78">
        <f t="shared" si="22"/>
        <v>1.4400373695448028E-10</v>
      </c>
      <c r="F78">
        <f t="shared" si="22"/>
        <v>2.6787678117086106E-10</v>
      </c>
      <c r="G78">
        <f t="shared" si="22"/>
        <v>4.828763633272116E-10</v>
      </c>
      <c r="H78">
        <f t="shared" si="22"/>
        <v>8.4348310675161869E-10</v>
      </c>
      <c r="I78">
        <f t="shared" si="22"/>
        <v>1.4277638994260953E-9</v>
      </c>
      <c r="J78">
        <f t="shared" si="22"/>
        <v>2.3419411125295221E-9</v>
      </c>
      <c r="K78">
        <f t="shared" si="22"/>
        <v>3.7225034649953276E-9</v>
      </c>
      <c r="L78">
        <f t="shared" si="22"/>
        <v>5.7336848287913512E-9</v>
      </c>
      <c r="M78">
        <f t="shared" si="23"/>
        <v>8.5579961953436167E-9</v>
      </c>
      <c r="N78">
        <f t="shared" si="23"/>
        <v>1.2377984298385191E-8</v>
      </c>
      <c r="O78">
        <f t="shared" si="23"/>
        <v>1.7348715772454354E-8</v>
      </c>
      <c r="P78">
        <f t="shared" si="23"/>
        <v>2.3562659238682236E-8</v>
      </c>
      <c r="Q78">
        <f t="shared" si="23"/>
        <v>3.1011361906853125E-8</v>
      </c>
      <c r="R78">
        <f t="shared" si="23"/>
        <v>3.9550952057612871E-8</v>
      </c>
      <c r="S78">
        <f t="shared" si="23"/>
        <v>4.8880159134670224E-8</v>
      </c>
      <c r="T78">
        <f t="shared" si="23"/>
        <v>5.8539343307631341E-8</v>
      </c>
      <c r="U78">
        <f t="shared" si="23"/>
        <v>6.7936418439900488E-8</v>
      </c>
      <c r="V78">
        <f t="shared" si="23"/>
        <v>7.6400643191667541E-8</v>
      </c>
      <c r="W78">
        <f t="shared" si="24"/>
        <v>8.3258953573385196E-8</v>
      </c>
      <c r="X78">
        <f t="shared" si="24"/>
        <v>8.7923394711990576E-8</v>
      </c>
      <c r="Y78">
        <f t="shared" si="24"/>
        <v>8.9974100484574355E-8</v>
      </c>
      <c r="Z78">
        <f t="shared" si="24"/>
        <v>8.9221628387238744E-8</v>
      </c>
      <c r="AA78">
        <f t="shared" si="24"/>
        <v>8.5735827367085354E-8</v>
      </c>
      <c r="AB78">
        <f t="shared" si="24"/>
        <v>7.9835142954587668E-8</v>
      </c>
      <c r="AC78">
        <f t="shared" si="24"/>
        <v>7.2038628748819531E-8</v>
      </c>
      <c r="AD78">
        <f t="shared" si="24"/>
        <v>6.2990685374346337E-8</v>
      </c>
      <c r="AE78">
        <f t="shared" si="24"/>
        <v>5.3373636820302336E-8</v>
      </c>
      <c r="AF78">
        <f t="shared" si="24"/>
        <v>4.3824485349764774E-8</v>
      </c>
      <c r="AG78">
        <f t="shared" si="25"/>
        <v>3.4869556149946641E-8</v>
      </c>
      <c r="AH78">
        <f t="shared" si="25"/>
        <v>2.6885342911823337E-8</v>
      </c>
      <c r="AI78">
        <f t="shared" si="25"/>
        <v>2.0087426791422382E-8</v>
      </c>
      <c r="AJ78">
        <f t="shared" si="25"/>
        <v>1.4543622724069814E-8</v>
      </c>
      <c r="AK78">
        <f t="shared" si="25"/>
        <v>1.0203765262737263E-8</v>
      </c>
      <c r="AL78">
        <f t="shared" si="25"/>
        <v>6.9372586061477594E-9</v>
      </c>
      <c r="AM78">
        <f t="shared" si="25"/>
        <v>4.5704069949551342E-9</v>
      </c>
      <c r="AN78">
        <f t="shared" si="25"/>
        <v>2.9178397284689364E-9</v>
      </c>
      <c r="AO78">
        <f t="shared" si="25"/>
        <v>1.8051261464782644E-9</v>
      </c>
      <c r="AP78">
        <f t="shared" si="25"/>
        <v>1.082164409269366E-9</v>
      </c>
      <c r="AQ78">
        <f t="shared" si="26"/>
        <v>6.2866387102242869E-10</v>
      </c>
      <c r="AR78">
        <f t="shared" si="26"/>
        <v>3.5390225049189322E-10</v>
      </c>
      <c r="AS78">
        <f t="shared" si="26"/>
        <v>1.9305795984687262E-10</v>
      </c>
      <c r="AT78">
        <f t="shared" si="26"/>
        <v>1.0205438423303826E-10</v>
      </c>
      <c r="AU78">
        <f t="shared" si="26"/>
        <v>5.2277545293061384E-11</v>
      </c>
      <c r="AV78">
        <f t="shared" si="26"/>
        <v>2.5950054447606264E-11</v>
      </c>
      <c r="AW78">
        <f t="shared" si="26"/>
        <v>1.2482481353428332E-11</v>
      </c>
      <c r="AX78">
        <f t="shared" si="26"/>
        <v>5.8183942403125666E-12</v>
      </c>
      <c r="AY78">
        <f t="shared" si="26"/>
        <v>2.6281184158363746E-12</v>
      </c>
      <c r="AZ78">
        <f t="shared" si="26"/>
        <v>1.1503401559783984E-12</v>
      </c>
      <c r="BA78">
        <f t="shared" si="26"/>
        <v>4.8791840136348061E-13</v>
      </c>
    </row>
    <row r="79" spans="1:53" hidden="1" x14ac:dyDescent="0.25">
      <c r="A79" s="1">
        <v>46</v>
      </c>
      <c r="B79" s="2">
        <f t="shared" si="6"/>
        <v>5.613541492284555</v>
      </c>
      <c r="C79">
        <f t="shared" si="22"/>
        <v>1.1890560275342491E-11</v>
      </c>
      <c r="D79">
        <f t="shared" si="22"/>
        <v>2.3688981898050705E-11</v>
      </c>
      <c r="E79">
        <f t="shared" si="22"/>
        <v>4.5733036673995456E-11</v>
      </c>
      <c r="F79">
        <f t="shared" si="22"/>
        <v>8.5556547116879978E-11</v>
      </c>
      <c r="G79">
        <f t="shared" si="22"/>
        <v>1.5510150955880326E-10</v>
      </c>
      <c r="H79">
        <f t="shared" si="22"/>
        <v>2.7246979593397481E-10</v>
      </c>
      <c r="I79">
        <f t="shared" si="22"/>
        <v>4.6383153739351318E-10</v>
      </c>
      <c r="J79">
        <f t="shared" si="22"/>
        <v>7.6514148306666116E-10</v>
      </c>
      <c r="K79">
        <f t="shared" si="22"/>
        <v>1.2231023160313792E-9</v>
      </c>
      <c r="L79">
        <f t="shared" si="22"/>
        <v>1.8946255722762323E-9</v>
      </c>
      <c r="M79">
        <f t="shared" si="23"/>
        <v>2.8439605460364528E-9</v>
      </c>
      <c r="N79">
        <f t="shared" si="23"/>
        <v>4.1367883878003057E-9</v>
      </c>
      <c r="O79">
        <f t="shared" si="23"/>
        <v>5.8309942115346209E-9</v>
      </c>
      <c r="P79">
        <f t="shared" si="23"/>
        <v>7.9645543646804242E-9</v>
      </c>
      <c r="Q79">
        <f t="shared" si="23"/>
        <v>1.054192489720611E-8</v>
      </c>
      <c r="R79">
        <f t="shared" si="23"/>
        <v>1.3521283566963116E-8</v>
      </c>
      <c r="S79">
        <f t="shared" si="23"/>
        <v>1.6805656788118968E-8</v>
      </c>
      <c r="T79">
        <f t="shared" si="23"/>
        <v>2.0241030774463785E-8</v>
      </c>
      <c r="U79">
        <f t="shared" si="23"/>
        <v>2.3623776571363059E-8</v>
      </c>
      <c r="V79">
        <f t="shared" si="23"/>
        <v>2.6718101413714781E-8</v>
      </c>
      <c r="W79">
        <f t="shared" si="24"/>
        <v>2.9282046606671981E-8</v>
      </c>
      <c r="X79">
        <f t="shared" si="24"/>
        <v>3.109831277648336E-8</v>
      </c>
      <c r="Y79">
        <f t="shared" si="24"/>
        <v>3.2004555001631751E-8</v>
      </c>
      <c r="Z79">
        <f t="shared" si="24"/>
        <v>3.1917313176527825E-8</v>
      </c>
      <c r="AA79">
        <f t="shared" si="24"/>
        <v>3.0844690940598023E-8</v>
      </c>
      <c r="AB79">
        <f t="shared" si="24"/>
        <v>2.8885114086953064E-8</v>
      </c>
      <c r="AC79">
        <f t="shared" si="24"/>
        <v>2.6212432040047012E-8</v>
      </c>
      <c r="AD79">
        <f t="shared" si="24"/>
        <v>2.3050487451804083E-8</v>
      </c>
      <c r="AE79">
        <f t="shared" si="24"/>
        <v>1.9642306179577056E-8</v>
      </c>
      <c r="AF79">
        <f t="shared" si="24"/>
        <v>1.6219759302329718E-8</v>
      </c>
      <c r="AG79">
        <f t="shared" si="25"/>
        <v>1.2978840635635469E-8</v>
      </c>
      <c r="AH79">
        <f t="shared" si="25"/>
        <v>1.0063915015964876E-8</v>
      </c>
      <c r="AI79">
        <f t="shared" si="25"/>
        <v>7.5620159274162763E-9</v>
      </c>
      <c r="AJ79">
        <f t="shared" si="25"/>
        <v>5.5061467353169108E-9</v>
      </c>
      <c r="AK79">
        <f t="shared" si="25"/>
        <v>3.8850582984951576E-9</v>
      </c>
      <c r="AL79">
        <f t="shared" si="25"/>
        <v>2.6563595937190799E-9</v>
      </c>
      <c r="AM79">
        <f t="shared" si="25"/>
        <v>1.7600125190670936E-9</v>
      </c>
      <c r="AN79">
        <f t="shared" si="25"/>
        <v>1.1300150160703601E-9</v>
      </c>
      <c r="AO79">
        <f t="shared" si="25"/>
        <v>7.0305975473518246E-10</v>
      </c>
      <c r="AP79">
        <f t="shared" si="25"/>
        <v>4.2387697679004904E-10</v>
      </c>
      <c r="AQ79">
        <f t="shared" si="26"/>
        <v>2.4764352894746731E-10</v>
      </c>
      <c r="AR79">
        <f t="shared" si="26"/>
        <v>1.402018377055104E-10</v>
      </c>
      <c r="AS79">
        <f t="shared" si="26"/>
        <v>7.6916585098138508E-11</v>
      </c>
      <c r="AT79">
        <f t="shared" si="26"/>
        <v>4.089082273222644E-11</v>
      </c>
      <c r="AU79">
        <f t="shared" si="26"/>
        <v>2.1065475621659864E-11</v>
      </c>
      <c r="AV79">
        <f t="shared" si="26"/>
        <v>1.0516137495487631E-11</v>
      </c>
      <c r="AW79">
        <f t="shared" si="26"/>
        <v>5.0872233859416884E-12</v>
      </c>
      <c r="AX79">
        <f t="shared" si="26"/>
        <v>2.384761365332329E-12</v>
      </c>
      <c r="AY79">
        <f t="shared" si="26"/>
        <v>1.0832996732513768E-12</v>
      </c>
      <c r="AZ79">
        <f t="shared" si="26"/>
        <v>4.768610636979349E-13</v>
      </c>
      <c r="BA79">
        <f t="shared" si="26"/>
        <v>2.0341111497765771E-13</v>
      </c>
    </row>
    <row r="80" spans="1:53" hidden="1" x14ac:dyDescent="0.25">
      <c r="A80" s="1">
        <v>47</v>
      </c>
      <c r="B80" s="2">
        <f t="shared" si="6"/>
        <v>5.8047281602099536</v>
      </c>
      <c r="C80">
        <f t="shared" si="22"/>
        <v>3.59805762911656E-12</v>
      </c>
      <c r="D80">
        <f t="shared" si="22"/>
        <v>7.2089845118873775E-12</v>
      </c>
      <c r="E80">
        <f t="shared" si="22"/>
        <v>1.3996506043613249E-11</v>
      </c>
      <c r="F80">
        <f t="shared" si="22"/>
        <v>2.6333267187093272E-11</v>
      </c>
      <c r="G80">
        <f t="shared" si="22"/>
        <v>4.8009747454240708E-11</v>
      </c>
      <c r="H80">
        <f t="shared" si="22"/>
        <v>8.4819100669604989E-11</v>
      </c>
      <c r="I80">
        <f t="shared" si="22"/>
        <v>1.4521031628874172E-10</v>
      </c>
      <c r="J80">
        <f t="shared" si="22"/>
        <v>2.409022440318541E-10</v>
      </c>
      <c r="K80">
        <f t="shared" si="22"/>
        <v>3.8727885513250704E-10</v>
      </c>
      <c r="L80">
        <f t="shared" si="22"/>
        <v>6.0331801315512769E-10</v>
      </c>
      <c r="M80">
        <f t="shared" si="23"/>
        <v>9.1076926134576295E-10</v>
      </c>
      <c r="N80">
        <f t="shared" si="23"/>
        <v>1.3323244665890358E-9</v>
      </c>
      <c r="O80">
        <f t="shared" si="23"/>
        <v>1.88864880422366E-9</v>
      </c>
      <c r="P80">
        <f t="shared" si="23"/>
        <v>2.5943703891748124E-9</v>
      </c>
      <c r="Q80">
        <f t="shared" si="23"/>
        <v>3.4534431876619144E-9</v>
      </c>
      <c r="R80">
        <f t="shared" si="23"/>
        <v>4.4546359638060785E-9</v>
      </c>
      <c r="S80">
        <f t="shared" si="23"/>
        <v>5.568159769466394E-9</v>
      </c>
      <c r="T80">
        <f t="shared" si="23"/>
        <v>6.7445149784908592E-9</v>
      </c>
      <c r="U80">
        <f t="shared" si="23"/>
        <v>7.9164290709725124E-9</v>
      </c>
      <c r="V80">
        <f t="shared" si="23"/>
        <v>9.0042489218761486E-9</v>
      </c>
      <c r="W80">
        <f t="shared" si="24"/>
        <v>9.9244220787022174E-9</v>
      </c>
      <c r="X80">
        <f t="shared" si="24"/>
        <v>1.0599918498682762E-8</v>
      </c>
      <c r="Y80">
        <f t="shared" si="24"/>
        <v>1.0970827639108557E-8</v>
      </c>
      <c r="Z80">
        <f t="shared" si="24"/>
        <v>1.1003119357369217E-8</v>
      </c>
      <c r="AA80">
        <f t="shared" si="24"/>
        <v>1.0693794206816672E-8</v>
      </c>
      <c r="AB80">
        <f t="shared" si="24"/>
        <v>1.0071342988468895E-8</v>
      </c>
      <c r="AC80">
        <f t="shared" si="24"/>
        <v>9.1914179970704607E-9</v>
      </c>
      <c r="AD80">
        <f t="shared" si="24"/>
        <v>8.1286273368396862E-9</v>
      </c>
      <c r="AE80">
        <f t="shared" si="24"/>
        <v>6.9661284154803548E-9</v>
      </c>
      <c r="AF80">
        <f t="shared" si="24"/>
        <v>5.7850258627901513E-9</v>
      </c>
      <c r="AG80">
        <f t="shared" si="25"/>
        <v>4.6554181963837718E-9</v>
      </c>
      <c r="AH80">
        <f t="shared" si="25"/>
        <v>3.630376445460112E-9</v>
      </c>
      <c r="AI80">
        <f t="shared" si="25"/>
        <v>2.7433687541899182E-9</v>
      </c>
      <c r="AJ80">
        <f t="shared" si="25"/>
        <v>2.0088905746920963E-9</v>
      </c>
      <c r="AK80">
        <f t="shared" si="25"/>
        <v>1.4255023595770481E-9</v>
      </c>
      <c r="AL80">
        <f t="shared" si="25"/>
        <v>9.8021008391254363E-10</v>
      </c>
      <c r="AM80">
        <f t="shared" si="25"/>
        <v>6.5314552795979294E-10</v>
      </c>
      <c r="AN80">
        <f t="shared" si="25"/>
        <v>4.2173565112139779E-10</v>
      </c>
      <c r="AO80">
        <f t="shared" si="25"/>
        <v>2.6388228690481003E-10</v>
      </c>
      <c r="AP80">
        <f t="shared" si="25"/>
        <v>1.5999990660618928E-10</v>
      </c>
      <c r="AQ80">
        <f t="shared" si="26"/>
        <v>9.4008859784312896E-11</v>
      </c>
      <c r="AR80">
        <f t="shared" si="26"/>
        <v>5.3525090151756446E-11</v>
      </c>
      <c r="AS80">
        <f t="shared" si="26"/>
        <v>2.9531506053868862E-11</v>
      </c>
      <c r="AT80">
        <f t="shared" si="26"/>
        <v>1.5788953664148006E-11</v>
      </c>
      <c r="AU80">
        <f t="shared" si="26"/>
        <v>8.1801387617205697E-12</v>
      </c>
      <c r="AV80">
        <f t="shared" si="26"/>
        <v>4.1068378640882335E-12</v>
      </c>
      <c r="AW80">
        <f t="shared" si="26"/>
        <v>1.9979932205072391E-12</v>
      </c>
      <c r="AX80">
        <f t="shared" si="26"/>
        <v>9.4193303644687987E-13</v>
      </c>
      <c r="AY80">
        <f t="shared" si="26"/>
        <v>4.3031413714730786E-13</v>
      </c>
      <c r="AZ80">
        <f t="shared" si="26"/>
        <v>1.9049815129817075E-13</v>
      </c>
      <c r="BA80">
        <f t="shared" si="26"/>
        <v>8.1721340648821184E-14</v>
      </c>
    </row>
    <row r="81" spans="1:53" hidden="1" x14ac:dyDescent="0.25">
      <c r="A81" s="1">
        <v>48</v>
      </c>
      <c r="B81" s="2">
        <f t="shared" si="6"/>
        <v>5.9959148281353505</v>
      </c>
      <c r="C81">
        <f t="shared" si="22"/>
        <v>1.0492216193159498E-12</v>
      </c>
      <c r="D81">
        <f t="shared" si="22"/>
        <v>2.1141466447802588E-12</v>
      </c>
      <c r="E81">
        <f t="shared" si="22"/>
        <v>4.1280272157842141E-12</v>
      </c>
      <c r="F81">
        <f t="shared" si="22"/>
        <v>7.8106928835941676E-12</v>
      </c>
      <c r="G81">
        <f t="shared" si="22"/>
        <v>1.4321092095355028E-11</v>
      </c>
      <c r="H81">
        <f t="shared" si="22"/>
        <v>2.5444989711812937E-11</v>
      </c>
      <c r="I81">
        <f t="shared" si="22"/>
        <v>4.3809468846888099E-11</v>
      </c>
      <c r="J81">
        <f t="shared" si="22"/>
        <v>7.3092574995413164E-11</v>
      </c>
      <c r="K81">
        <f t="shared" si="22"/>
        <v>1.1817295687355183E-10</v>
      </c>
      <c r="L81">
        <f t="shared" si="22"/>
        <v>1.8514095896770892E-10</v>
      </c>
      <c r="M81">
        <f t="shared" si="23"/>
        <v>2.8107775849428796E-10</v>
      </c>
      <c r="N81">
        <f t="shared" si="23"/>
        <v>4.1351381202050788E-10</v>
      </c>
      <c r="O81">
        <f t="shared" si="23"/>
        <v>5.8951264500677167E-10</v>
      </c>
      <c r="P81">
        <f t="shared" si="23"/>
        <v>8.1439630788699163E-10</v>
      </c>
      <c r="Q81">
        <f t="shared" si="23"/>
        <v>1.0902297610227993E-9</v>
      </c>
      <c r="R81">
        <f t="shared" si="23"/>
        <v>1.4142944477332251E-9</v>
      </c>
      <c r="S81">
        <f t="shared" si="23"/>
        <v>1.7778749292046011E-9</v>
      </c>
      <c r="T81">
        <f t="shared" si="23"/>
        <v>2.1657191723705578E-9</v>
      </c>
      <c r="U81">
        <f t="shared" si="23"/>
        <v>2.5564814322413859E-9</v>
      </c>
      <c r="V81">
        <f t="shared" si="23"/>
        <v>2.9243052940207613E-9</v>
      </c>
      <c r="W81">
        <f t="shared" si="24"/>
        <v>3.2414725209912871E-9</v>
      </c>
      <c r="X81">
        <f t="shared" si="24"/>
        <v>3.4817817473231634E-9</v>
      </c>
      <c r="Y81">
        <f t="shared" si="24"/>
        <v>3.6241011483118756E-9</v>
      </c>
      <c r="Z81">
        <f t="shared" si="24"/>
        <v>3.6554314368429989E-9</v>
      </c>
      <c r="AA81">
        <f t="shared" si="24"/>
        <v>3.5728644568549055E-9</v>
      </c>
      <c r="AB81">
        <f t="shared" si="24"/>
        <v>3.3840284470146988E-9</v>
      </c>
      <c r="AC81">
        <f t="shared" si="24"/>
        <v>3.105925509687817E-9</v>
      </c>
      <c r="AD81">
        <f t="shared" si="24"/>
        <v>2.7624067869508941E-9</v>
      </c>
      <c r="AE81">
        <f t="shared" si="24"/>
        <v>2.380804831102909E-9</v>
      </c>
      <c r="AF81">
        <f t="shared" si="24"/>
        <v>1.9883806311806326E-9</v>
      </c>
      <c r="AG81">
        <f t="shared" si="25"/>
        <v>1.6092177676129811E-9</v>
      </c>
      <c r="AH81">
        <f t="shared" si="25"/>
        <v>1.2620300041374998E-9</v>
      </c>
      <c r="AI81">
        <f t="shared" si="25"/>
        <v>9.5910047795741292E-10</v>
      </c>
      <c r="AJ81">
        <f t="shared" si="25"/>
        <v>7.0631446547361151E-10</v>
      </c>
      <c r="AK81">
        <f t="shared" si="25"/>
        <v>5.0404772658500557E-10</v>
      </c>
      <c r="AL81">
        <f t="shared" si="25"/>
        <v>3.4856580995751933E-10</v>
      </c>
      <c r="AM81">
        <f t="shared" si="25"/>
        <v>2.3358098075654932E-10</v>
      </c>
      <c r="AN81">
        <f t="shared" si="25"/>
        <v>1.5168049436218729E-10</v>
      </c>
      <c r="AO81">
        <f t="shared" si="25"/>
        <v>9.5446841063663021E-11</v>
      </c>
      <c r="AP81">
        <f t="shared" si="25"/>
        <v>5.8201335411910391E-11</v>
      </c>
      <c r="AQ81">
        <f t="shared" si="26"/>
        <v>3.4390928855542571E-11</v>
      </c>
      <c r="AR81">
        <f t="shared" si="26"/>
        <v>1.9692208619774567E-11</v>
      </c>
      <c r="AS81">
        <f t="shared" si="26"/>
        <v>1.0926586709397811E-11</v>
      </c>
      <c r="AT81">
        <f t="shared" si="26"/>
        <v>5.8750852266729031E-12</v>
      </c>
      <c r="AU81">
        <f t="shared" si="26"/>
        <v>3.0611414055832151E-12</v>
      </c>
      <c r="AV81">
        <f t="shared" si="26"/>
        <v>1.5455824530004375E-12</v>
      </c>
      <c r="AW81">
        <f t="shared" si="26"/>
        <v>7.5620671842250715E-13</v>
      </c>
      <c r="AX81">
        <f t="shared" si="26"/>
        <v>3.5853243487627183E-13</v>
      </c>
      <c r="AY81">
        <f t="shared" si="26"/>
        <v>1.6472364193265399E-13</v>
      </c>
      <c r="AZ81">
        <f t="shared" si="26"/>
        <v>7.3336974110325702E-14</v>
      </c>
      <c r="BA81">
        <f t="shared" si="26"/>
        <v>3.1639499465213478E-14</v>
      </c>
    </row>
    <row r="82" spans="1:53" hidden="1" x14ac:dyDescent="0.25">
      <c r="A82" s="1">
        <v>49</v>
      </c>
      <c r="B82" s="2">
        <f t="shared" si="6"/>
        <v>6.1871014960607491</v>
      </c>
      <c r="C82">
        <f t="shared" si="22"/>
        <v>2.948490044394703E-13</v>
      </c>
      <c r="D82">
        <f t="shared" si="22"/>
        <v>5.9748835230946481E-13</v>
      </c>
      <c r="E82">
        <f t="shared" si="22"/>
        <v>1.1732722181768436E-12</v>
      </c>
      <c r="F82">
        <f t="shared" si="22"/>
        <v>2.2325834297092549E-12</v>
      </c>
      <c r="G82">
        <f t="shared" si="22"/>
        <v>4.1167659148274468E-12</v>
      </c>
      <c r="H82">
        <f t="shared" si="22"/>
        <v>7.3560422544616643E-12</v>
      </c>
      <c r="I82">
        <f t="shared" si="22"/>
        <v>1.2737137100286556E-11</v>
      </c>
      <c r="J82">
        <f t="shared" si="22"/>
        <v>2.1371696488154799E-11</v>
      </c>
      <c r="K82">
        <f t="shared" si="22"/>
        <v>3.4749274230121385E-11</v>
      </c>
      <c r="L82">
        <f t="shared" si="22"/>
        <v>5.4750998645089537E-11</v>
      </c>
      <c r="M82">
        <f t="shared" si="23"/>
        <v>8.3594541048935239E-11</v>
      </c>
      <c r="N82">
        <f t="shared" si="23"/>
        <v>1.2368110497720812E-10</v>
      </c>
      <c r="O82">
        <f t="shared" si="23"/>
        <v>1.773243438840342E-10</v>
      </c>
      <c r="P82">
        <f t="shared" si="23"/>
        <v>2.4636155276597693E-10</v>
      </c>
      <c r="Q82">
        <f t="shared" si="23"/>
        <v>3.3167830848754844E-10</v>
      </c>
      <c r="R82">
        <f t="shared" si="23"/>
        <v>4.3271382732420942E-10</v>
      </c>
      <c r="S82">
        <f t="shared" si="23"/>
        <v>5.4704624675087346E-10</v>
      </c>
      <c r="T82">
        <f t="shared" si="23"/>
        <v>6.7017292491347233E-10</v>
      </c>
      <c r="U82">
        <f t="shared" si="23"/>
        <v>7.9558993455542833E-10</v>
      </c>
      <c r="V82">
        <f t="shared" si="23"/>
        <v>9.1523210853475743E-10</v>
      </c>
      <c r="W82">
        <f t="shared" si="24"/>
        <v>1.0202645142393668E-9</v>
      </c>
      <c r="X82">
        <f t="shared" si="24"/>
        <v>1.1021326842937615E-9</v>
      </c>
      <c r="Y82">
        <f t="shared" si="24"/>
        <v>1.1537043974237888E-9</v>
      </c>
      <c r="Z82">
        <f t="shared" si="24"/>
        <v>1.1702934659825919E-9</v>
      </c>
      <c r="AA82">
        <f t="shared" si="24"/>
        <v>1.1503621364032737E-9</v>
      </c>
      <c r="AB82">
        <f t="shared" si="24"/>
        <v>1.0957562165698082E-9</v>
      </c>
      <c r="AC82">
        <f t="shared" si="24"/>
        <v>1.0114231129689913E-9</v>
      </c>
      <c r="AD82">
        <f t="shared" si="24"/>
        <v>9.0467246188788583E-10</v>
      </c>
      <c r="AE82">
        <f t="shared" si="24"/>
        <v>7.8413246222403561E-10</v>
      </c>
      <c r="AF82">
        <f t="shared" si="24"/>
        <v>6.5860809227461964E-10</v>
      </c>
      <c r="AG82">
        <f t="shared" si="25"/>
        <v>5.3604871304651847E-10</v>
      </c>
      <c r="AH82">
        <f t="shared" si="25"/>
        <v>4.2278640999562678E-10</v>
      </c>
      <c r="AI82">
        <f t="shared" si="25"/>
        <v>3.2313004888489939E-10</v>
      </c>
      <c r="AJ82">
        <f t="shared" si="25"/>
        <v>2.3931682905059554E-10</v>
      </c>
      <c r="AK82">
        <f t="shared" si="25"/>
        <v>1.7175472737588154E-10</v>
      </c>
      <c r="AL82">
        <f t="shared" si="25"/>
        <v>1.1944933193661089E-10</v>
      </c>
      <c r="AM82">
        <f t="shared" si="25"/>
        <v>8.0500451649688244E-11</v>
      </c>
      <c r="AN82">
        <f t="shared" si="25"/>
        <v>5.2571754960566243E-11</v>
      </c>
      <c r="AO82">
        <f t="shared" si="25"/>
        <v>3.3269494258439267E-11</v>
      </c>
      <c r="AP82">
        <f t="shared" si="25"/>
        <v>2.0402316913073937E-11</v>
      </c>
      <c r="AQ82">
        <f t="shared" si="26"/>
        <v>1.2124179166696925E-11</v>
      </c>
      <c r="AR82">
        <f t="shared" si="26"/>
        <v>6.9817576255341137E-12</v>
      </c>
      <c r="AS82">
        <f t="shared" si="26"/>
        <v>3.895980339453891E-12</v>
      </c>
      <c r="AT82">
        <f t="shared" si="26"/>
        <v>2.1067272427428422E-12</v>
      </c>
      <c r="AU82">
        <f t="shared" si="26"/>
        <v>1.1039246527933912E-12</v>
      </c>
      <c r="AV82">
        <f t="shared" si="26"/>
        <v>5.6054453012973365E-13</v>
      </c>
      <c r="AW82">
        <f t="shared" si="26"/>
        <v>2.7581658187517348E-13</v>
      </c>
      <c r="AX82">
        <f t="shared" si="26"/>
        <v>1.3151345619040805E-13</v>
      </c>
      <c r="AY82">
        <f t="shared" si="26"/>
        <v>6.0765849897852956E-14</v>
      </c>
      <c r="AZ82">
        <f t="shared" si="26"/>
        <v>2.7207493113437591E-14</v>
      </c>
      <c r="BA82">
        <f t="shared" si="26"/>
        <v>1.1804756832923998E-14</v>
      </c>
    </row>
    <row r="83" spans="1:53" hidden="1" x14ac:dyDescent="0.25">
      <c r="A83" s="1">
        <v>50</v>
      </c>
      <c r="B83" s="2">
        <f t="shared" si="6"/>
        <v>6.378288163986146</v>
      </c>
      <c r="C83">
        <f t="shared" si="22"/>
        <v>7.9848253270106618E-14</v>
      </c>
      <c r="D83">
        <f t="shared" si="22"/>
        <v>1.6272605575884546E-13</v>
      </c>
      <c r="E83">
        <f t="shared" si="22"/>
        <v>3.2135742723841171E-13</v>
      </c>
      <c r="F83">
        <f t="shared" si="22"/>
        <v>6.1497739404423859E-13</v>
      </c>
      <c r="G83">
        <f t="shared" si="22"/>
        <v>1.1404323494320417E-12</v>
      </c>
      <c r="H83">
        <f t="shared" si="22"/>
        <v>2.0493657332805627E-12</v>
      </c>
      <c r="I83">
        <f t="shared" si="22"/>
        <v>3.5686912714178376E-12</v>
      </c>
      <c r="J83">
        <f t="shared" si="22"/>
        <v>6.0219625886187454E-12</v>
      </c>
      <c r="K83">
        <f t="shared" si="22"/>
        <v>9.8470624848674812E-12</v>
      </c>
      <c r="L83">
        <f t="shared" si="22"/>
        <v>1.5603244019941375E-11</v>
      </c>
      <c r="M83">
        <f t="shared" si="23"/>
        <v>2.3958668215202239E-11</v>
      </c>
      <c r="N83">
        <f t="shared" si="23"/>
        <v>3.5649218387631875E-11</v>
      </c>
      <c r="O83">
        <f t="shared" si="23"/>
        <v>5.1401633112443059E-11</v>
      </c>
      <c r="P83">
        <f t="shared" si="23"/>
        <v>7.1819667252947449E-11</v>
      </c>
      <c r="Q83">
        <f t="shared" si="23"/>
        <v>9.7241002160455915E-11</v>
      </c>
      <c r="R83">
        <f t="shared" si="23"/>
        <v>1.2758365202266723E-10</v>
      </c>
      <c r="S83">
        <f t="shared" si="23"/>
        <v>1.6221096167957851E-10</v>
      </c>
      <c r="T83">
        <f t="shared" si="23"/>
        <v>1.9985035992485352E-10</v>
      </c>
      <c r="U83">
        <f t="shared" si="23"/>
        <v>2.3859933920483008E-10</v>
      </c>
      <c r="V83">
        <f t="shared" si="23"/>
        <v>2.7604069012377226E-10</v>
      </c>
      <c r="W83">
        <f t="shared" si="24"/>
        <v>3.094685631863688E-10</v>
      </c>
      <c r="X83">
        <f t="shared" si="24"/>
        <v>3.3620141637918443E-10</v>
      </c>
      <c r="Y83">
        <f t="shared" si="24"/>
        <v>3.5393385389308717E-10</v>
      </c>
      <c r="Z83">
        <f t="shared" si="24"/>
        <v>3.6106404018745805E-10</v>
      </c>
      <c r="AA83">
        <f t="shared" si="24"/>
        <v>3.569323702649751E-10</v>
      </c>
      <c r="AB83">
        <f t="shared" si="24"/>
        <v>3.4192212243098557E-10</v>
      </c>
      <c r="AC83">
        <f t="shared" si="24"/>
        <v>3.174008105057085E-10</v>
      </c>
      <c r="AD83">
        <f t="shared" si="24"/>
        <v>2.8551467047443047E-10</v>
      </c>
      <c r="AE83">
        <f t="shared" si="24"/>
        <v>2.4887907921465142E-10</v>
      </c>
      <c r="AF83">
        <f t="shared" si="24"/>
        <v>2.1022672293161169E-10</v>
      </c>
      <c r="AG83">
        <f t="shared" si="25"/>
        <v>1.7207866009367303E-10</v>
      </c>
      <c r="AH83">
        <f t="shared" si="25"/>
        <v>1.3649152216814951E-10</v>
      </c>
      <c r="AI83">
        <f t="shared" si="25"/>
        <v>1.0491169520379676E-10</v>
      </c>
      <c r="AJ83">
        <f t="shared" si="25"/>
        <v>7.8141491819402532E-11</v>
      </c>
      <c r="AK83">
        <f t="shared" si="25"/>
        <v>5.639999401893378E-11</v>
      </c>
      <c r="AL83">
        <f t="shared" si="25"/>
        <v>3.9447181995314589E-11</v>
      </c>
      <c r="AM83">
        <f t="shared" si="25"/>
        <v>2.673575641292594E-11</v>
      </c>
      <c r="AN83">
        <f t="shared" si="25"/>
        <v>1.7559353978005323E-11</v>
      </c>
      <c r="AO83">
        <f t="shared" si="25"/>
        <v>1.1175427824564709E-11</v>
      </c>
      <c r="AP83">
        <f t="shared" si="25"/>
        <v>6.8922234386983467E-12</v>
      </c>
      <c r="AQ83">
        <f t="shared" si="26"/>
        <v>4.1190219361312841E-12</v>
      </c>
      <c r="AR83">
        <f t="shared" si="26"/>
        <v>2.3854396154877063E-12</v>
      </c>
      <c r="AS83">
        <f t="shared" si="26"/>
        <v>1.3386970799643423E-12</v>
      </c>
      <c r="AT83">
        <f t="shared" si="26"/>
        <v>7.2800736156019987E-13</v>
      </c>
      <c r="AU83">
        <f t="shared" si="26"/>
        <v>3.8364433689771593E-13</v>
      </c>
      <c r="AV83">
        <f t="shared" si="26"/>
        <v>1.9591215367026581E-13</v>
      </c>
      <c r="AW83">
        <f t="shared" si="26"/>
        <v>9.6946811938727229E-14</v>
      </c>
      <c r="AX83">
        <f t="shared" si="26"/>
        <v>4.6488469799990733E-14</v>
      </c>
      <c r="AY83">
        <f t="shared" si="26"/>
        <v>2.1602128081029393E-14</v>
      </c>
      <c r="AZ83">
        <f t="shared" si="26"/>
        <v>9.7271897596144894E-15</v>
      </c>
      <c r="BA83">
        <f t="shared" si="26"/>
        <v>4.2444146599375402E-15</v>
      </c>
    </row>
    <row r="84" spans="1:53" hidden="1" x14ac:dyDescent="0.25">
      <c r="A84" s="1">
        <v>51</v>
      </c>
      <c r="B84" s="2">
        <f t="shared" si="6"/>
        <v>6.5694748319115428</v>
      </c>
      <c r="C84">
        <f t="shared" si="22"/>
        <v>2.0838405935147725E-14</v>
      </c>
      <c r="D84">
        <f t="shared" si="22"/>
        <v>4.2708869102800917E-14</v>
      </c>
      <c r="E84">
        <f t="shared" si="22"/>
        <v>8.4822528793046258E-14</v>
      </c>
      <c r="F84">
        <f t="shared" si="22"/>
        <v>1.6324651773849132E-13</v>
      </c>
      <c r="G84">
        <f t="shared" si="22"/>
        <v>3.0445015692583314E-13</v>
      </c>
      <c r="H84">
        <f t="shared" si="22"/>
        <v>5.5020944921855143E-13</v>
      </c>
      <c r="I84">
        <f t="shared" si="22"/>
        <v>9.6356153129068984E-13</v>
      </c>
      <c r="J84">
        <f t="shared" si="22"/>
        <v>1.6351983030486093E-12</v>
      </c>
      <c r="K84">
        <f t="shared" si="22"/>
        <v>2.6890629467999403E-12</v>
      </c>
      <c r="L84">
        <f t="shared" si="22"/>
        <v>4.2851997940471134E-12</v>
      </c>
      <c r="M84">
        <f t="shared" si="23"/>
        <v>6.6172988452268038E-12</v>
      </c>
      <c r="N84">
        <f t="shared" si="23"/>
        <v>9.9021610951624148E-12</v>
      </c>
      <c r="O84">
        <f t="shared" si="23"/>
        <v>1.435882136837643E-11</v>
      </c>
      <c r="P84">
        <f t="shared" si="23"/>
        <v>2.01765618949471E-11</v>
      </c>
      <c r="Q84">
        <f t="shared" si="23"/>
        <v>2.7473570305869108E-11</v>
      </c>
      <c r="R84">
        <f t="shared" si="23"/>
        <v>3.6251218175712739E-11</v>
      </c>
      <c r="S84">
        <f t="shared" si="23"/>
        <v>4.6352127744896763E-11</v>
      </c>
      <c r="T84">
        <f t="shared" si="23"/>
        <v>5.7432313448602251E-11</v>
      </c>
      <c r="U84">
        <f t="shared" si="23"/>
        <v>6.8957659483392368E-11</v>
      </c>
      <c r="V84">
        <f t="shared" si="23"/>
        <v>8.0232122349904896E-11</v>
      </c>
      <c r="W84">
        <f t="shared" si="24"/>
        <v>9.0459381656659089E-11</v>
      </c>
      <c r="X84">
        <f t="shared" si="24"/>
        <v>9.8832211881929396E-11</v>
      </c>
      <c r="Y84">
        <f t="shared" si="24"/>
        <v>1.046364462781089E-10</v>
      </c>
      <c r="Z84">
        <f t="shared" si="24"/>
        <v>1.0735122732805473E-10</v>
      </c>
      <c r="AA84">
        <f t="shared" si="24"/>
        <v>1.0672609336602627E-10</v>
      </c>
      <c r="AB84">
        <f t="shared" si="24"/>
        <v>1.0281909511899528E-10</v>
      </c>
      <c r="AC84">
        <f t="shared" si="24"/>
        <v>9.5987903968440838E-11</v>
      </c>
      <c r="AD84">
        <f t="shared" si="24"/>
        <v>8.6835799131273362E-11</v>
      </c>
      <c r="AE84">
        <f t="shared" si="24"/>
        <v>7.6123836621524535E-11</v>
      </c>
      <c r="AF84">
        <f t="shared" si="24"/>
        <v>6.466690826406426E-11</v>
      </c>
      <c r="AG84">
        <f t="shared" si="25"/>
        <v>5.3233263675097734E-11</v>
      </c>
      <c r="AH84">
        <f t="shared" si="25"/>
        <v>4.246426922328769E-11</v>
      </c>
      <c r="AI84">
        <f t="shared" si="25"/>
        <v>3.2824928005628852E-11</v>
      </c>
      <c r="AJ84">
        <f t="shared" si="25"/>
        <v>2.4588015372133042E-11</v>
      </c>
      <c r="AK84">
        <f t="shared" si="25"/>
        <v>1.7847719663861316E-11</v>
      </c>
      <c r="AL84">
        <f t="shared" si="25"/>
        <v>1.2553983739279935E-11</v>
      </c>
      <c r="AM84">
        <f t="shared" si="25"/>
        <v>8.5569689062355062E-12</v>
      </c>
      <c r="AN84">
        <f t="shared" si="25"/>
        <v>5.6519448058991575E-12</v>
      </c>
      <c r="AO84">
        <f t="shared" si="25"/>
        <v>3.6175574466484095E-12</v>
      </c>
      <c r="AP84">
        <f t="shared" si="25"/>
        <v>2.2437399820672166E-12</v>
      </c>
      <c r="AQ84">
        <f t="shared" si="26"/>
        <v>1.3485566142341403E-12</v>
      </c>
      <c r="AR84">
        <f t="shared" si="26"/>
        <v>7.8542623960117504E-13</v>
      </c>
      <c r="AS84">
        <f t="shared" si="26"/>
        <v>4.4328312106519017E-13</v>
      </c>
      <c r="AT84">
        <f t="shared" si="26"/>
        <v>2.4243568738238693E-13</v>
      </c>
      <c r="AU84">
        <f t="shared" si="26"/>
        <v>1.2848471659681668E-13</v>
      </c>
      <c r="AV84">
        <f t="shared" si="26"/>
        <v>6.5985111984867289E-14</v>
      </c>
      <c r="AW84">
        <f t="shared" si="26"/>
        <v>3.283825049277219E-14</v>
      </c>
      <c r="AX84">
        <f t="shared" si="26"/>
        <v>1.5836296733657914E-14</v>
      </c>
      <c r="AY84">
        <f t="shared" si="26"/>
        <v>7.400598039225337E-15</v>
      </c>
      <c r="AZ84">
        <f t="shared" si="26"/>
        <v>3.3513483175387053E-15</v>
      </c>
      <c r="BA84">
        <f t="shared" si="26"/>
        <v>1.4706586636489512E-15</v>
      </c>
    </row>
    <row r="85" spans="1:53" hidden="1" x14ac:dyDescent="0.25">
      <c r="A85" s="1"/>
      <c r="B85" s="2"/>
    </row>
    <row r="86" spans="1:53" hidden="1" x14ac:dyDescent="0.25">
      <c r="A86" s="1"/>
      <c r="B86" s="2"/>
    </row>
    <row r="87" spans="1:53" hidden="1" x14ac:dyDescent="0.25">
      <c r="A87" s="1"/>
      <c r="B87" s="2"/>
    </row>
    <row r="88" spans="1:53" hidden="1" x14ac:dyDescent="0.25">
      <c r="A88" s="18" t="s">
        <v>27</v>
      </c>
      <c r="B88" s="18"/>
    </row>
    <row r="89" spans="1:53" hidden="1" x14ac:dyDescent="0.25">
      <c r="A89" s="11"/>
      <c r="B89" s="11"/>
    </row>
    <row r="90" spans="1:53" hidden="1" x14ac:dyDescent="0.25">
      <c r="B90" s="7" t="s">
        <v>0</v>
      </c>
      <c r="C90" s="1">
        <v>1</v>
      </c>
      <c r="D90" s="1">
        <v>2</v>
      </c>
      <c r="E90" s="1">
        <v>3</v>
      </c>
      <c r="F90" s="1">
        <v>4</v>
      </c>
      <c r="G90" s="1">
        <v>5</v>
      </c>
      <c r="H90" s="1">
        <v>6</v>
      </c>
      <c r="I90" s="1">
        <v>7</v>
      </c>
      <c r="J90" s="1">
        <v>8</v>
      </c>
      <c r="K90" s="1">
        <v>9</v>
      </c>
      <c r="L90" s="1">
        <v>10</v>
      </c>
      <c r="M90" s="1">
        <v>11</v>
      </c>
      <c r="N90" s="1">
        <v>12</v>
      </c>
      <c r="O90" s="1">
        <v>13</v>
      </c>
      <c r="P90" s="1">
        <v>14</v>
      </c>
      <c r="Q90" s="1">
        <v>15</v>
      </c>
      <c r="R90" s="1">
        <v>16</v>
      </c>
      <c r="S90" s="1">
        <v>17</v>
      </c>
      <c r="T90" s="1">
        <v>18</v>
      </c>
      <c r="U90" s="1">
        <v>19</v>
      </c>
      <c r="V90" s="1">
        <v>20</v>
      </c>
      <c r="W90" s="1">
        <v>21</v>
      </c>
      <c r="X90" s="1">
        <v>22</v>
      </c>
      <c r="Y90" s="1">
        <v>23</v>
      </c>
      <c r="Z90" s="1">
        <v>24</v>
      </c>
      <c r="AA90" s="1">
        <v>25</v>
      </c>
      <c r="AB90" s="1">
        <v>26</v>
      </c>
      <c r="AC90" s="1">
        <v>27</v>
      </c>
      <c r="AD90" s="1">
        <v>28</v>
      </c>
      <c r="AE90" s="1">
        <v>29</v>
      </c>
      <c r="AF90" s="1">
        <v>30</v>
      </c>
      <c r="AG90" s="1">
        <v>31</v>
      </c>
      <c r="AH90" s="1">
        <v>32</v>
      </c>
      <c r="AI90" s="1">
        <v>33</v>
      </c>
      <c r="AJ90" s="1">
        <v>34</v>
      </c>
      <c r="AK90" s="1">
        <v>35</v>
      </c>
      <c r="AL90" s="1">
        <v>36</v>
      </c>
      <c r="AM90" s="1">
        <v>37</v>
      </c>
      <c r="AN90" s="1">
        <v>38</v>
      </c>
      <c r="AO90" s="1">
        <v>39</v>
      </c>
      <c r="AP90" s="1">
        <v>40</v>
      </c>
      <c r="AQ90" s="1">
        <v>41</v>
      </c>
      <c r="AR90" s="1">
        <v>42</v>
      </c>
      <c r="AS90" s="1">
        <v>43</v>
      </c>
      <c r="AT90" s="1">
        <v>44</v>
      </c>
      <c r="AU90" s="1">
        <v>45</v>
      </c>
      <c r="AV90" s="1">
        <v>46</v>
      </c>
      <c r="AW90" s="1">
        <v>47</v>
      </c>
      <c r="AX90" s="1">
        <v>48</v>
      </c>
      <c r="AY90" s="1">
        <v>49</v>
      </c>
      <c r="AZ90" s="1">
        <v>50</v>
      </c>
      <c r="BA90" s="1">
        <v>51</v>
      </c>
    </row>
    <row r="91" spans="1:53" hidden="1" x14ac:dyDescent="0.25">
      <c r="A91" s="7" t="s">
        <v>1</v>
      </c>
      <c r="C91" s="2">
        <f>$L$8</f>
        <v>-3.1588358347956675</v>
      </c>
      <c r="D91" s="2">
        <f>$C$33+$N$8*(D90-1)</f>
        <v>-2.9646168429217079</v>
      </c>
      <c r="E91" s="2">
        <f t="shared" ref="E91" si="27">$C$33+$N$8*(E90-1)</f>
        <v>-2.7703978510477483</v>
      </c>
      <c r="F91" s="2">
        <f t="shared" ref="F91" si="28">$C$33+$N$8*(F90-1)</f>
        <v>-2.5761788591737886</v>
      </c>
      <c r="G91" s="2">
        <f t="shared" ref="G91" si="29">$C$33+$N$8*(G90-1)</f>
        <v>-2.3819598672998286</v>
      </c>
      <c r="H91" s="2">
        <f t="shared" ref="H91" si="30">$C$33+$N$8*(H90-1)</f>
        <v>-2.1877408754258694</v>
      </c>
      <c r="I91" s="2">
        <f t="shared" ref="I91" si="31">$C$33+$N$8*(I90-1)</f>
        <v>-1.9935218835519093</v>
      </c>
      <c r="J91" s="2">
        <f t="shared" ref="J91" si="32">$C$33+$N$8*(J90-1)</f>
        <v>-1.7993028916779497</v>
      </c>
      <c r="K91" s="2">
        <f t="shared" ref="K91" si="33">$C$33+$N$8*(K90-1)</f>
        <v>-1.60508389980399</v>
      </c>
      <c r="L91" s="2">
        <f t="shared" ref="L91" si="34">$C$33+$N$8*(L90-1)</f>
        <v>-1.4108649079300304</v>
      </c>
      <c r="M91" s="2">
        <f t="shared" ref="M91" si="35">$C$33+$N$8*(M90-1)</f>
        <v>-1.2166459160560708</v>
      </c>
      <c r="N91" s="2">
        <f t="shared" ref="N91" si="36">$C$33+$N$8*(N90-1)</f>
        <v>-1.0224269241821111</v>
      </c>
      <c r="O91" s="2">
        <f t="shared" ref="O91" si="37">$C$33+$N$8*(O90-1)</f>
        <v>-0.82820793230815104</v>
      </c>
      <c r="P91" s="2">
        <f t="shared" ref="P91" si="38">$C$33+$N$8*(P90-1)</f>
        <v>-0.63398894043419141</v>
      </c>
      <c r="Q91" s="2">
        <f t="shared" ref="Q91" si="39">$C$33+$N$8*(Q90-1)</f>
        <v>-0.43976994856023177</v>
      </c>
      <c r="R91" s="2">
        <f t="shared" ref="R91" si="40">$C$33+$N$8*(R90-1)</f>
        <v>-0.24555095668627214</v>
      </c>
      <c r="S91" s="2">
        <f t="shared" ref="S91" si="41">$C$33+$N$8*(S90-1)</f>
        <v>-5.1331964812312503E-2</v>
      </c>
      <c r="T91" s="2">
        <f t="shared" ref="T91" si="42">$C$33+$N$8*(T90-1)</f>
        <v>0.14288702706164713</v>
      </c>
      <c r="U91" s="2">
        <f t="shared" ref="U91" si="43">$C$33+$N$8*(U90-1)</f>
        <v>0.33710601893560677</v>
      </c>
      <c r="V91" s="2">
        <f t="shared" ref="V91" si="44">$C$33+$N$8*(V90-1)</f>
        <v>0.5313250108095664</v>
      </c>
      <c r="W91" s="2">
        <f t="shared" ref="W91" si="45">$C$33+$N$8*(W90-1)</f>
        <v>0.72554400268352603</v>
      </c>
      <c r="X91" s="2">
        <f t="shared" ref="X91" si="46">$C$33+$N$8*(X90-1)</f>
        <v>0.91976299455748611</v>
      </c>
      <c r="Y91" s="2">
        <f t="shared" ref="Y91" si="47">$C$33+$N$8*(Y90-1)</f>
        <v>1.1139819864314453</v>
      </c>
      <c r="Z91" s="2">
        <f t="shared" ref="Z91" si="48">$C$33+$N$8*(Z90-1)</f>
        <v>1.3082009783054054</v>
      </c>
      <c r="AA91" s="2">
        <f t="shared" ref="AA91" si="49">$C$33+$N$8*(AA90-1)</f>
        <v>1.5024199701793655</v>
      </c>
      <c r="AB91" s="2">
        <f t="shared" ref="AB91" si="50">$C$33+$N$8*(AB90-1)</f>
        <v>1.6966389620533247</v>
      </c>
      <c r="AC91" s="2">
        <f t="shared" ref="AC91" si="51">$C$33+$N$8*(AC90-1)</f>
        <v>1.8908579539272847</v>
      </c>
      <c r="AD91" s="2">
        <f t="shared" ref="AD91" si="52">$C$33+$N$8*(AD90-1)</f>
        <v>2.0850769458012439</v>
      </c>
      <c r="AE91" s="2">
        <f t="shared" ref="AE91" si="53">$C$33+$N$8*(AE90-1)</f>
        <v>2.279295937675204</v>
      </c>
      <c r="AF91" s="2">
        <f t="shared" ref="AF91" si="54">$C$33+$N$8*(AF90-1)</f>
        <v>2.4735149295491632</v>
      </c>
      <c r="AG91" s="2">
        <f t="shared" ref="AG91" si="55">$C$33+$N$8*(AG90-1)</f>
        <v>2.6677339214231233</v>
      </c>
      <c r="AH91" s="2">
        <f t="shared" ref="AH91" si="56">$C$33+$N$8*(AH90-1)</f>
        <v>2.8619529132970825</v>
      </c>
      <c r="AI91" s="2">
        <f t="shared" ref="AI91" si="57">$C$33+$N$8*(AI90-1)</f>
        <v>3.0561719051710425</v>
      </c>
      <c r="AJ91" s="2">
        <f t="shared" ref="AJ91" si="58">$C$33+$N$8*(AJ90-1)</f>
        <v>3.2503908970450026</v>
      </c>
      <c r="AK91" s="2">
        <f t="shared" ref="AK91" si="59">$C$33+$N$8*(AK90-1)</f>
        <v>3.4446098889189618</v>
      </c>
      <c r="AL91" s="2">
        <f t="shared" ref="AL91" si="60">$C$33+$N$8*(AL90-1)</f>
        <v>3.6388288807929219</v>
      </c>
      <c r="AM91" s="2">
        <f t="shared" ref="AM91" si="61">$C$33+$N$8*(AM90-1)</f>
        <v>3.8330478726668811</v>
      </c>
      <c r="AN91" s="2">
        <f t="shared" ref="AN91" si="62">$C$33+$N$8*(AN90-1)</f>
        <v>4.0272668645408416</v>
      </c>
      <c r="AO91" s="2">
        <f t="shared" ref="AO91" si="63">$C$33+$N$8*(AO90-1)</f>
        <v>4.2214858564147999</v>
      </c>
      <c r="AP91" s="2">
        <f t="shared" ref="AP91" si="64">$C$33+$N$8*(AP90-1)</f>
        <v>4.41570484828876</v>
      </c>
      <c r="AQ91" s="2">
        <f t="shared" ref="AQ91" si="65">$C$33+$N$8*(AQ90-1)</f>
        <v>4.6099238401627201</v>
      </c>
      <c r="AR91" s="2">
        <f t="shared" ref="AR91" si="66">$C$33+$N$8*(AR90-1)</f>
        <v>4.8041428320366801</v>
      </c>
      <c r="AS91" s="2">
        <f t="shared" ref="AS91" si="67">$C$33+$N$8*(AS90-1)</f>
        <v>4.9983618239106402</v>
      </c>
      <c r="AT91" s="2">
        <f t="shared" ref="AT91" si="68">$C$33+$N$8*(AT90-1)</f>
        <v>5.1925808157846003</v>
      </c>
      <c r="AU91" s="2">
        <f t="shared" ref="AU91" si="69">$C$33+$N$8*(AU90-1)</f>
        <v>5.3867998076585586</v>
      </c>
      <c r="AV91" s="2">
        <f t="shared" ref="AV91" si="70">$C$33+$N$8*(AV90-1)</f>
        <v>5.5810187995325187</v>
      </c>
      <c r="AW91" s="2">
        <f t="shared" ref="AW91" si="71">$C$33+$N$8*(AW90-1)</f>
        <v>5.7752377914064787</v>
      </c>
      <c r="AX91" s="2">
        <f t="shared" ref="AX91" si="72">$C$33+$N$8*(AX90-1)</f>
        <v>5.9694567832804388</v>
      </c>
      <c r="AY91" s="2">
        <f t="shared" ref="AY91" si="73">$C$33+$N$8*(AY90-1)</f>
        <v>6.1636757751543989</v>
      </c>
      <c r="AZ91" s="2">
        <f t="shared" ref="AZ91" si="74">$C$33+$N$8*(AZ90-1)</f>
        <v>6.3578947670283572</v>
      </c>
      <c r="BA91" s="2">
        <f t="shared" ref="BA91" si="75">$C$33+$N$8*(BA90-1)</f>
        <v>6.5521137589023173</v>
      </c>
    </row>
    <row r="92" spans="1:53" hidden="1" x14ac:dyDescent="0.25">
      <c r="A92" s="1">
        <v>1</v>
      </c>
      <c r="B92" s="2">
        <f>$L$9</f>
        <v>-2.9898585643583351</v>
      </c>
      <c r="C92">
        <f t="shared" ref="C92:L101" si="76">SQRT($I$14*$J$14-$K$14^2)/PI()*EXP(-($I$14*((C$91-$C$14)^2)+2*$K$14*(C$91-$C$14)*($B92-$C$15)+$J$14*(($B92-$C$15)^2)))</f>
        <v>1.2955599462896517E-30</v>
      </c>
      <c r="D92">
        <f t="shared" si="76"/>
        <v>6.6064284091814727E-30</v>
      </c>
      <c r="E92">
        <f t="shared" si="76"/>
        <v>3.2329731057349501E-29</v>
      </c>
      <c r="F92">
        <f t="shared" si="76"/>
        <v>1.5183209658612317E-28</v>
      </c>
      <c r="G92">
        <f t="shared" si="76"/>
        <v>6.8430738162323963E-28</v>
      </c>
      <c r="H92">
        <f t="shared" si="76"/>
        <v>2.9598179450068537E-27</v>
      </c>
      <c r="I92">
        <f t="shared" si="76"/>
        <v>1.2285841596209874E-26</v>
      </c>
      <c r="J92">
        <f t="shared" si="76"/>
        <v>4.8940788564912162E-26</v>
      </c>
      <c r="K92">
        <f t="shared" si="76"/>
        <v>1.8709541826669649E-25</v>
      </c>
      <c r="L92">
        <f t="shared" si="76"/>
        <v>6.8640664686055214E-25</v>
      </c>
      <c r="M92">
        <f t="shared" ref="M92:V101" si="77">SQRT($I$14*$J$14-$K$14^2)/PI()*EXP(-($I$14*((M$91-$C$14)^2)+2*$K$14*(M$91-$C$14)*($B92-$C$15)+$J$14*(($B92-$C$15)^2)))</f>
        <v>2.4167178339784909E-24</v>
      </c>
      <c r="N92">
        <f t="shared" si="77"/>
        <v>8.165758882121275E-24</v>
      </c>
      <c r="O92">
        <f t="shared" si="77"/>
        <v>2.6478494919677752E-23</v>
      </c>
      <c r="P92">
        <f t="shared" si="77"/>
        <v>8.239790646665361E-23</v>
      </c>
      <c r="Q92">
        <f t="shared" si="77"/>
        <v>2.4607369914843505E-22</v>
      </c>
      <c r="R92">
        <f t="shared" si="77"/>
        <v>7.0524555382350937E-22</v>
      </c>
      <c r="S92">
        <f t="shared" si="77"/>
        <v>1.9397316596699679E-21</v>
      </c>
      <c r="T92">
        <f t="shared" si="77"/>
        <v>5.1199897337401706E-21</v>
      </c>
      <c r="U92">
        <f t="shared" si="77"/>
        <v>1.2969483008780629E-20</v>
      </c>
      <c r="V92">
        <f t="shared" si="77"/>
        <v>3.152843234876834E-20</v>
      </c>
      <c r="W92">
        <f t="shared" ref="W92:AF101" si="78">SQRT($I$14*$J$14-$K$14^2)/PI()*EXP(-($I$14*((W$91-$C$14)^2)+2*$K$14*(W$91-$C$14)*($B92-$C$15)+$J$14*(($B92-$C$15)^2)))</f>
        <v>7.3554327426527156E-20</v>
      </c>
      <c r="X92">
        <f t="shared" si="78"/>
        <v>1.646797573803987E-19</v>
      </c>
      <c r="Y92">
        <f t="shared" si="78"/>
        <v>3.5383300986849741E-19</v>
      </c>
      <c r="Z92">
        <f t="shared" si="78"/>
        <v>7.2959628424730049E-19</v>
      </c>
      <c r="AA92">
        <f t="shared" si="78"/>
        <v>1.4437533958465606E-18</v>
      </c>
      <c r="AB92">
        <f t="shared" si="78"/>
        <v>2.7417607973482988E-18</v>
      </c>
      <c r="AC92">
        <f t="shared" si="78"/>
        <v>4.9968031955305641E-18</v>
      </c>
      <c r="AD92">
        <f t="shared" si="78"/>
        <v>8.7393888907194476E-18</v>
      </c>
      <c r="AE92">
        <f t="shared" si="78"/>
        <v>1.4668848541004628E-17</v>
      </c>
      <c r="AF92">
        <f t="shared" si="78"/>
        <v>2.3628552757417941E-17</v>
      </c>
      <c r="AG92">
        <f t="shared" ref="AG92:AP101" si="79">SQRT($I$14*$J$14-$K$14^2)/PI()*EXP(-($I$14*((AG$91-$C$14)^2)+2*$K$14*(AG$91-$C$14)*($B92-$C$15)+$J$14*(($B92-$C$15)^2)))</f>
        <v>3.6526188674335927E-17</v>
      </c>
      <c r="AH92">
        <f t="shared" si="79"/>
        <v>5.4187327548284869E-17</v>
      </c>
      <c r="AI92">
        <f t="shared" si="79"/>
        <v>7.7146680841360498E-17</v>
      </c>
      <c r="AJ92">
        <f t="shared" si="79"/>
        <v>1.0540540886968051E-16</v>
      </c>
      <c r="AK92">
        <f t="shared" si="79"/>
        <v>1.3820847890073752E-16</v>
      </c>
      <c r="AL92">
        <f t="shared" si="79"/>
        <v>1.7391322783992525E-16</v>
      </c>
      <c r="AM92">
        <f t="shared" si="79"/>
        <v>2.1001807943535997E-16</v>
      </c>
      <c r="AN92">
        <f t="shared" si="79"/>
        <v>2.4339232990992172E-16</v>
      </c>
      <c r="AO92">
        <f t="shared" si="79"/>
        <v>2.7069686863232874E-16</v>
      </c>
      <c r="AP92">
        <f t="shared" si="79"/>
        <v>2.8892539410534869E-16</v>
      </c>
      <c r="AQ92">
        <f t="shared" ref="AQ92:BA101" si="80">SQRT($I$14*$J$14-$K$14^2)/PI()*EXP(-($I$14*((AQ$91-$C$14)^2)+2*$K$14*(AQ$91-$C$14)*($B92-$C$15)+$J$14*(($B92-$C$15)^2)))</f>
        <v>2.9594726800391592E-16</v>
      </c>
      <c r="AR92">
        <f t="shared" si="80"/>
        <v>2.909169960778176E-16</v>
      </c>
      <c r="AS92">
        <f t="shared" si="80"/>
        <v>2.7444163142346068E-16</v>
      </c>
      <c r="AT92">
        <f t="shared" si="80"/>
        <v>2.484603133572716E-16</v>
      </c>
      <c r="AU92">
        <f t="shared" si="80"/>
        <v>2.1586896206966522E-16</v>
      </c>
      <c r="AV92">
        <f t="shared" si="80"/>
        <v>1.7999047232042462E-16</v>
      </c>
      <c r="AW92">
        <f t="shared" si="80"/>
        <v>1.4402403311263328E-16</v>
      </c>
      <c r="AX92">
        <f t="shared" si="80"/>
        <v>1.1059781792880181E-16</v>
      </c>
      <c r="AY92">
        <f t="shared" si="80"/>
        <v>8.1505006648622821E-17</v>
      </c>
      <c r="AZ92">
        <f t="shared" si="80"/>
        <v>5.7643209573092156E-17</v>
      </c>
      <c r="BA92">
        <f t="shared" si="80"/>
        <v>3.9123541437210071E-17</v>
      </c>
    </row>
    <row r="93" spans="1:53" hidden="1" x14ac:dyDescent="0.25">
      <c r="A93" s="1">
        <v>2</v>
      </c>
      <c r="B93" s="2">
        <f>$B$34+$N$9*(A93-1)</f>
        <v>-2.7986718964329373</v>
      </c>
      <c r="C93">
        <f t="shared" si="76"/>
        <v>1.0154924096316545E-29</v>
      </c>
      <c r="D93">
        <f t="shared" si="76"/>
        <v>5.1494218120704243E-29</v>
      </c>
      <c r="E93">
        <f t="shared" si="76"/>
        <v>2.5059153329156083E-28</v>
      </c>
      <c r="F93">
        <f t="shared" si="76"/>
        <v>1.1703087634050825E-27</v>
      </c>
      <c r="G93">
        <f t="shared" si="76"/>
        <v>5.2451831720954573E-27</v>
      </c>
      <c r="H93">
        <f t="shared" si="76"/>
        <v>2.2560410613221226E-26</v>
      </c>
      <c r="I93">
        <f t="shared" si="76"/>
        <v>9.3123540425181029E-26</v>
      </c>
      <c r="J93">
        <f t="shared" si="76"/>
        <v>3.6889103121857095E-25</v>
      </c>
      <c r="K93">
        <f t="shared" si="76"/>
        <v>1.4023707745131006E-24</v>
      </c>
      <c r="L93">
        <f t="shared" si="76"/>
        <v>5.1162734353032101E-24</v>
      </c>
      <c r="M93">
        <f t="shared" si="77"/>
        <v>1.7913101220149589E-23</v>
      </c>
      <c r="N93">
        <f t="shared" si="77"/>
        <v>6.0188559773221914E-23</v>
      </c>
      <c r="O93">
        <f t="shared" si="77"/>
        <v>1.9408110730093206E-22</v>
      </c>
      <c r="P93">
        <f t="shared" si="77"/>
        <v>6.005908476548751E-22</v>
      </c>
      <c r="Q93">
        <f t="shared" si="77"/>
        <v>1.7836116346600558E-21</v>
      </c>
      <c r="R93">
        <f t="shared" si="77"/>
        <v>5.0833266970535429E-21</v>
      </c>
      <c r="S93">
        <f t="shared" si="77"/>
        <v>1.390342779640423E-20</v>
      </c>
      <c r="T93">
        <f t="shared" si="77"/>
        <v>3.6494035329360697E-20</v>
      </c>
      <c r="U93">
        <f t="shared" si="77"/>
        <v>9.1928045996683223E-20</v>
      </c>
      <c r="V93">
        <f t="shared" si="77"/>
        <v>2.2222878314506689E-19</v>
      </c>
      <c r="W93">
        <f t="shared" si="78"/>
        <v>5.1555941942841706E-19</v>
      </c>
      <c r="X93">
        <f t="shared" si="78"/>
        <v>1.1478450935619455E-18</v>
      </c>
      <c r="Y93">
        <f t="shared" si="78"/>
        <v>2.4525280144100644E-18</v>
      </c>
      <c r="Z93">
        <f t="shared" si="78"/>
        <v>5.0288746447847299E-18</v>
      </c>
      <c r="AA93">
        <f t="shared" si="78"/>
        <v>9.8958654493749228E-18</v>
      </c>
      <c r="AB93">
        <f t="shared" si="78"/>
        <v>1.8688002857593798E-17</v>
      </c>
      <c r="AC93">
        <f t="shared" si="78"/>
        <v>3.386866983786521E-17</v>
      </c>
      <c r="AD93">
        <f t="shared" si="78"/>
        <v>5.8905999250121048E-17</v>
      </c>
      <c r="AE93">
        <f t="shared" si="78"/>
        <v>9.8321173434992136E-17</v>
      </c>
      <c r="AF93">
        <f t="shared" si="78"/>
        <v>1.5749280468378292E-16</v>
      </c>
      <c r="AG93">
        <f t="shared" si="79"/>
        <v>2.421031943527274E-16</v>
      </c>
      <c r="AH93">
        <f t="shared" si="79"/>
        <v>3.5716299872693486E-16</v>
      </c>
      <c r="AI93">
        <f t="shared" si="79"/>
        <v>5.056599298685545E-16</v>
      </c>
      <c r="AJ93">
        <f t="shared" si="79"/>
        <v>6.8703167143244098E-16</v>
      </c>
      <c r="AK93">
        <f t="shared" si="79"/>
        <v>8.9582074302270012E-16</v>
      </c>
      <c r="AL93">
        <f t="shared" si="79"/>
        <v>1.1209638554416876E-15</v>
      </c>
      <c r="AM93">
        <f t="shared" si="79"/>
        <v>1.3461338423362046E-15</v>
      </c>
      <c r="AN93">
        <f t="shared" si="79"/>
        <v>1.5513543742345431E-15</v>
      </c>
      <c r="AO93">
        <f t="shared" si="79"/>
        <v>1.7157733775487144E-15</v>
      </c>
      <c r="AP93">
        <f t="shared" si="79"/>
        <v>1.8211049452265777E-15</v>
      </c>
      <c r="AQ93">
        <f t="shared" si="80"/>
        <v>1.8549668850730923E-15</v>
      </c>
      <c r="AR93">
        <f t="shared" si="80"/>
        <v>1.8132742186238834E-15</v>
      </c>
      <c r="AS93">
        <f t="shared" si="80"/>
        <v>1.7010494974224394E-15</v>
      </c>
      <c r="AT93">
        <f t="shared" si="80"/>
        <v>1.531427895575951E-15</v>
      </c>
      <c r="AU93">
        <f t="shared" si="80"/>
        <v>1.3231293246703291E-15</v>
      </c>
      <c r="AV93">
        <f t="shared" si="80"/>
        <v>1.0970695840408723E-15</v>
      </c>
      <c r="AW93">
        <f t="shared" si="80"/>
        <v>8.7295567507823674E-16</v>
      </c>
      <c r="AX93">
        <f t="shared" si="80"/>
        <v>6.666169454809281E-16</v>
      </c>
      <c r="AY93">
        <f t="shared" si="80"/>
        <v>4.8852483235764908E-16</v>
      </c>
      <c r="AZ93">
        <f t="shared" si="80"/>
        <v>3.4357620468551769E-16</v>
      </c>
      <c r="BA93">
        <f t="shared" si="80"/>
        <v>2.3189193792186487E-16</v>
      </c>
    </row>
    <row r="94" spans="1:53" hidden="1" x14ac:dyDescent="0.25">
      <c r="A94" s="1">
        <v>3</v>
      </c>
      <c r="B94" s="2">
        <f t="shared" ref="B94:B142" si="81">$B$34+$N$9*(A94-1)</f>
        <v>-2.6074852285075401</v>
      </c>
      <c r="C94">
        <f t="shared" si="76"/>
        <v>7.5602342026966091E-29</v>
      </c>
      <c r="D94">
        <f t="shared" si="76"/>
        <v>3.8123222386673006E-28</v>
      </c>
      <c r="E94">
        <f t="shared" si="76"/>
        <v>1.8448883741457366E-27</v>
      </c>
      <c r="F94">
        <f t="shared" si="76"/>
        <v>8.5679460690289445E-27</v>
      </c>
      <c r="G94">
        <f t="shared" si="76"/>
        <v>3.8186468166631985E-26</v>
      </c>
      <c r="H94">
        <f t="shared" si="76"/>
        <v>1.6333091676348945E-25</v>
      </c>
      <c r="I94">
        <f t="shared" si="76"/>
        <v>6.7043000868528118E-25</v>
      </c>
      <c r="J94">
        <f t="shared" si="76"/>
        <v>2.6409770620980706E-24</v>
      </c>
      <c r="K94">
        <f t="shared" si="76"/>
        <v>9.9839397534134266E-24</v>
      </c>
      <c r="L94">
        <f t="shared" si="76"/>
        <v>3.6221415036895628E-23</v>
      </c>
      <c r="M94">
        <f t="shared" si="77"/>
        <v>1.2611159311839431E-22</v>
      </c>
      <c r="N94">
        <f t="shared" si="77"/>
        <v>4.2137692532385735E-22</v>
      </c>
      <c r="O94">
        <f t="shared" si="77"/>
        <v>1.3511781892835638E-21</v>
      </c>
      <c r="P94">
        <f t="shared" si="77"/>
        <v>4.1579631978917617E-21</v>
      </c>
      <c r="Q94">
        <f t="shared" si="77"/>
        <v>1.2279333490406333E-20</v>
      </c>
      <c r="R94">
        <f t="shared" si="77"/>
        <v>3.4801269460399178E-20</v>
      </c>
      <c r="S94">
        <f t="shared" si="77"/>
        <v>9.465455464398411E-20</v>
      </c>
      <c r="T94">
        <f t="shared" si="77"/>
        <v>2.4706662642167496E-19</v>
      </c>
      <c r="U94">
        <f t="shared" si="77"/>
        <v>6.1888904089709099E-19</v>
      </c>
      <c r="V94">
        <f t="shared" si="77"/>
        <v>1.4877763065161563E-18</v>
      </c>
      <c r="W94">
        <f t="shared" si="78"/>
        <v>3.4323267282024334E-18</v>
      </c>
      <c r="X94">
        <f t="shared" si="78"/>
        <v>7.5991627342215305E-18</v>
      </c>
      <c r="Y94">
        <f t="shared" si="78"/>
        <v>1.6146150863390913E-17</v>
      </c>
      <c r="Z94">
        <f t="shared" si="78"/>
        <v>3.2922924468768861E-17</v>
      </c>
      <c r="AA94">
        <f t="shared" si="78"/>
        <v>6.4424928276321857E-17</v>
      </c>
      <c r="AB94">
        <f t="shared" si="78"/>
        <v>1.2098613979785853E-16</v>
      </c>
      <c r="AC94">
        <f t="shared" si="78"/>
        <v>2.1804364593812532E-16</v>
      </c>
      <c r="AD94">
        <f t="shared" si="78"/>
        <v>3.7711811016346844E-16</v>
      </c>
      <c r="AE94">
        <f t="shared" si="78"/>
        <v>6.2594688252898296E-16</v>
      </c>
      <c r="AF94">
        <f t="shared" si="78"/>
        <v>9.9706555053646729E-16</v>
      </c>
      <c r="AG94">
        <f t="shared" si="79"/>
        <v>1.52417937393495E-15</v>
      </c>
      <c r="AH94">
        <f t="shared" si="79"/>
        <v>2.2360143564016731E-15</v>
      </c>
      <c r="AI94">
        <f t="shared" si="79"/>
        <v>3.1480326898421701E-15</v>
      </c>
      <c r="AJ94">
        <f t="shared" si="79"/>
        <v>4.2533391921013597E-15</v>
      </c>
      <c r="AK94">
        <f t="shared" si="79"/>
        <v>5.5150180824805106E-15</v>
      </c>
      <c r="AL94">
        <f t="shared" si="79"/>
        <v>6.8626207970452396E-15</v>
      </c>
      <c r="AM94">
        <f t="shared" si="79"/>
        <v>8.1951933022821209E-15</v>
      </c>
      <c r="AN94">
        <f t="shared" si="79"/>
        <v>9.3919233630080662E-15</v>
      </c>
      <c r="AO94">
        <f t="shared" si="79"/>
        <v>1.0329421913158312E-14</v>
      </c>
      <c r="AP94">
        <f t="shared" si="79"/>
        <v>1.0902438163177157E-14</v>
      </c>
      <c r="AQ94">
        <f t="shared" si="80"/>
        <v>1.1043262252771712E-14</v>
      </c>
      <c r="AR94">
        <f t="shared" si="80"/>
        <v>1.073488207532176E-14</v>
      </c>
      <c r="AS94">
        <f t="shared" si="80"/>
        <v>1.0014362516309672E-14</v>
      </c>
      <c r="AT94">
        <f t="shared" si="80"/>
        <v>8.9655198778909589E-15</v>
      </c>
      <c r="AU94">
        <f t="shared" si="80"/>
        <v>7.7028915851359386E-15</v>
      </c>
      <c r="AV94">
        <f t="shared" si="80"/>
        <v>6.351235720376473E-15</v>
      </c>
      <c r="AW94">
        <f t="shared" si="80"/>
        <v>5.0256103799326084E-15</v>
      </c>
      <c r="AX94">
        <f t="shared" si="80"/>
        <v>3.8163266411914451E-15</v>
      </c>
      <c r="AY94">
        <f t="shared" si="80"/>
        <v>2.7811755363556756E-15</v>
      </c>
      <c r="AZ94">
        <f t="shared" si="80"/>
        <v>1.9450796967825615E-15</v>
      </c>
      <c r="BA94">
        <f t="shared" si="80"/>
        <v>1.3054869626856196E-15</v>
      </c>
    </row>
    <row r="95" spans="1:53" hidden="1" x14ac:dyDescent="0.25">
      <c r="A95" s="1">
        <v>4</v>
      </c>
      <c r="B95" s="2">
        <f t="shared" si="81"/>
        <v>-2.4162985605821423</v>
      </c>
      <c r="C95">
        <f t="shared" si="76"/>
        <v>5.346052461473546E-28</v>
      </c>
      <c r="D95">
        <f t="shared" si="76"/>
        <v>2.6807735864873259E-27</v>
      </c>
      <c r="E95">
        <f t="shared" si="76"/>
        <v>1.2900697557083013E-26</v>
      </c>
      <c r="F95">
        <f t="shared" si="76"/>
        <v>5.9578887608170122E-26</v>
      </c>
      <c r="G95">
        <f t="shared" si="76"/>
        <v>2.6405702455146593E-25</v>
      </c>
      <c r="H95">
        <f t="shared" si="76"/>
        <v>1.1231278556964539E-24</v>
      </c>
      <c r="I95">
        <f t="shared" si="76"/>
        <v>4.584445462380354E-24</v>
      </c>
      <c r="J95">
        <f t="shared" si="76"/>
        <v>1.7958520759250009E-23</v>
      </c>
      <c r="K95">
        <f t="shared" si="76"/>
        <v>6.7511918548230952E-23</v>
      </c>
      <c r="L95">
        <f t="shared" si="76"/>
        <v>2.4356589532020714E-22</v>
      </c>
      <c r="M95">
        <f t="shared" si="77"/>
        <v>8.4329328688020529E-22</v>
      </c>
      <c r="N95">
        <f t="shared" si="77"/>
        <v>2.8019923639652757E-21</v>
      </c>
      <c r="O95">
        <f t="shared" si="77"/>
        <v>8.9347291187134494E-21</v>
      </c>
      <c r="P95">
        <f t="shared" si="77"/>
        <v>2.7341476986489705E-20</v>
      </c>
      <c r="Q95">
        <f t="shared" si="77"/>
        <v>8.0295034897458632E-20</v>
      </c>
      <c r="R95">
        <f t="shared" si="77"/>
        <v>2.2629843440975695E-19</v>
      </c>
      <c r="S95">
        <f t="shared" si="77"/>
        <v>6.1206922850690232E-19</v>
      </c>
      <c r="T95">
        <f t="shared" si="77"/>
        <v>1.588713848675635E-18</v>
      </c>
      <c r="U95">
        <f t="shared" si="77"/>
        <v>3.957463836152653E-18</v>
      </c>
      <c r="V95">
        <f t="shared" si="77"/>
        <v>9.4605060336797323E-18</v>
      </c>
      <c r="W95">
        <f t="shared" si="78"/>
        <v>2.1703906890012124E-17</v>
      </c>
      <c r="X95">
        <f t="shared" si="78"/>
        <v>4.7784561685934818E-17</v>
      </c>
      <c r="Y95">
        <f t="shared" si="78"/>
        <v>1.0096327608888939E-16</v>
      </c>
      <c r="Z95">
        <f t="shared" si="78"/>
        <v>2.0472241699710934E-16</v>
      </c>
      <c r="AA95">
        <f t="shared" si="78"/>
        <v>3.9837631017706624E-16</v>
      </c>
      <c r="AB95">
        <f t="shared" si="78"/>
        <v>7.4395685148519211E-16</v>
      </c>
      <c r="AC95">
        <f t="shared" si="78"/>
        <v>1.3333007678697076E-15</v>
      </c>
      <c r="AD95">
        <f t="shared" si="78"/>
        <v>2.293161539019771E-15</v>
      </c>
      <c r="AE95">
        <f t="shared" si="78"/>
        <v>3.7850124082988403E-15</v>
      </c>
      <c r="AF95">
        <f t="shared" si="78"/>
        <v>5.9955096242090056E-15</v>
      </c>
      <c r="AG95">
        <f t="shared" si="79"/>
        <v>9.1140422985694825E-15</v>
      </c>
      <c r="AH95">
        <f t="shared" si="79"/>
        <v>1.3296033897991846E-14</v>
      </c>
      <c r="AI95">
        <f t="shared" si="79"/>
        <v>1.8614840784495231E-14</v>
      </c>
      <c r="AJ95">
        <f t="shared" si="79"/>
        <v>2.5010517433227551E-14</v>
      </c>
      <c r="AK95">
        <f t="shared" si="79"/>
        <v>3.224869657505552E-14</v>
      </c>
      <c r="AL95">
        <f t="shared" si="79"/>
        <v>3.9905043980938501E-14</v>
      </c>
      <c r="AM95">
        <f t="shared" si="79"/>
        <v>4.7388128781741849E-14</v>
      </c>
      <c r="AN95">
        <f t="shared" si="79"/>
        <v>5.4005434523041037E-14</v>
      </c>
      <c r="AO95">
        <f t="shared" si="79"/>
        <v>5.9065176748879231E-14</v>
      </c>
      <c r="AP95">
        <f t="shared" si="79"/>
        <v>6.1994289860028554E-14</v>
      </c>
      <c r="AQ95">
        <f t="shared" si="80"/>
        <v>6.2445048849986187E-14</v>
      </c>
      <c r="AR95">
        <f t="shared" si="80"/>
        <v>6.0362951702507785E-14</v>
      </c>
      <c r="AS95">
        <f t="shared" si="80"/>
        <v>5.5997555050589833E-14</v>
      </c>
      <c r="AT95">
        <f t="shared" si="80"/>
        <v>4.9853287322093831E-14</v>
      </c>
      <c r="AU95">
        <f t="shared" si="80"/>
        <v>4.2593632060231399E-14</v>
      </c>
      <c r="AV95">
        <f t="shared" si="80"/>
        <v>3.4923815683498881E-14</v>
      </c>
      <c r="AW95">
        <f t="shared" si="80"/>
        <v>2.7480513171204569E-14</v>
      </c>
      <c r="AX95">
        <f t="shared" si="80"/>
        <v>2.0751721387666642E-14</v>
      </c>
      <c r="AY95">
        <f t="shared" si="80"/>
        <v>1.5038674375722535E-14</v>
      </c>
      <c r="AZ95">
        <f t="shared" si="80"/>
        <v>1.0459023102936416E-14</v>
      </c>
      <c r="BA95">
        <f t="shared" si="80"/>
        <v>6.9806976352694146E-15</v>
      </c>
    </row>
    <row r="96" spans="1:53" hidden="1" x14ac:dyDescent="0.25">
      <c r="A96" s="1">
        <v>5</v>
      </c>
      <c r="B96" s="2">
        <f t="shared" si="81"/>
        <v>-2.225111892656745</v>
      </c>
      <c r="C96">
        <f t="shared" si="76"/>
        <v>3.5906293963232986E-27</v>
      </c>
      <c r="D96">
        <f t="shared" si="76"/>
        <v>1.7904824483194013E-26</v>
      </c>
      <c r="E96">
        <f t="shared" si="76"/>
        <v>8.5683202931087799E-26</v>
      </c>
      <c r="F96">
        <f t="shared" si="76"/>
        <v>3.9350246338008293E-25</v>
      </c>
      <c r="G96">
        <f t="shared" si="76"/>
        <v>1.7343045235013435E-24</v>
      </c>
      <c r="H96">
        <f t="shared" si="76"/>
        <v>7.335494515454612E-24</v>
      </c>
      <c r="I96">
        <f t="shared" si="76"/>
        <v>2.9775535105722571E-23</v>
      </c>
      <c r="J96">
        <f t="shared" si="76"/>
        <v>1.1598875635398723E-22</v>
      </c>
      <c r="K96">
        <f t="shared" si="76"/>
        <v>4.3360905925752441E-22</v>
      </c>
      <c r="L96">
        <f t="shared" si="76"/>
        <v>1.5556322607598607E-21</v>
      </c>
      <c r="M96">
        <f t="shared" si="77"/>
        <v>5.356013626378048E-21</v>
      </c>
      <c r="N96">
        <f t="shared" si="77"/>
        <v>1.7697117890360402E-20</v>
      </c>
      <c r="O96">
        <f t="shared" si="77"/>
        <v>5.6116367820434306E-20</v>
      </c>
      <c r="P96">
        <f t="shared" si="77"/>
        <v>1.7076650927382549E-19</v>
      </c>
      <c r="Q96">
        <f t="shared" si="77"/>
        <v>4.9870300719817104E-19</v>
      </c>
      <c r="R96">
        <f t="shared" si="77"/>
        <v>1.3976789089151325E-18</v>
      </c>
      <c r="S96">
        <f t="shared" si="77"/>
        <v>3.7592306660128568E-18</v>
      </c>
      <c r="T96">
        <f t="shared" si="77"/>
        <v>9.7032378335531185E-18</v>
      </c>
      <c r="U96">
        <f t="shared" si="77"/>
        <v>2.4035907082698062E-17</v>
      </c>
      <c r="V96">
        <f t="shared" si="77"/>
        <v>5.7138718388839607E-17</v>
      </c>
      <c r="W96">
        <f t="shared" si="78"/>
        <v>1.3035467525377513E-16</v>
      </c>
      <c r="X96">
        <f t="shared" si="78"/>
        <v>2.8539664769678512E-16</v>
      </c>
      <c r="Y96">
        <f t="shared" si="78"/>
        <v>5.9964920399277928E-16</v>
      </c>
      <c r="Z96">
        <f t="shared" si="78"/>
        <v>1.2091266514905925E-15</v>
      </c>
      <c r="AA96">
        <f t="shared" si="78"/>
        <v>2.3397662106779968E-15</v>
      </c>
      <c r="AB96">
        <f t="shared" si="78"/>
        <v>4.3450949811404693E-15</v>
      </c>
      <c r="AC96">
        <f t="shared" si="78"/>
        <v>7.7437660202435868E-15</v>
      </c>
      <c r="AD96">
        <f t="shared" si="78"/>
        <v>1.3244370112021771E-14</v>
      </c>
      <c r="AE96">
        <f t="shared" si="78"/>
        <v>2.1738848373201824E-14</v>
      </c>
      <c r="AF96">
        <f t="shared" si="78"/>
        <v>3.4242691775507184E-14</v>
      </c>
      <c r="AG96">
        <f t="shared" si="79"/>
        <v>5.1763710361111523E-14</v>
      </c>
      <c r="AH96">
        <f t="shared" si="79"/>
        <v>7.5094657136807981E-14</v>
      </c>
      <c r="AI96">
        <f t="shared" si="79"/>
        <v>1.0454874345235622E-13</v>
      </c>
      <c r="AJ96">
        <f t="shared" si="79"/>
        <v>1.3968659615777755E-13</v>
      </c>
      <c r="AK96">
        <f t="shared" si="79"/>
        <v>1.7910874482793275E-13</v>
      </c>
      <c r="AL96">
        <f t="shared" si="79"/>
        <v>2.2039664775570888E-13</v>
      </c>
      <c r="AM96">
        <f t="shared" si="79"/>
        <v>2.6026712649923201E-13</v>
      </c>
      <c r="AN96">
        <f t="shared" si="79"/>
        <v>2.9495773413800568E-13</v>
      </c>
      <c r="AO96">
        <f t="shared" si="79"/>
        <v>3.2079411903251898E-13</v>
      </c>
      <c r="AP96">
        <f t="shared" si="79"/>
        <v>3.3482597800016712E-13</v>
      </c>
      <c r="AQ96">
        <f t="shared" si="80"/>
        <v>3.3538067356049199E-13</v>
      </c>
      <c r="AR96">
        <f t="shared" si="80"/>
        <v>3.2239111007334273E-13</v>
      </c>
      <c r="AS96">
        <f t="shared" si="80"/>
        <v>2.9740907835833215E-13</v>
      </c>
      <c r="AT96">
        <f t="shared" si="80"/>
        <v>2.633004025817682E-13</v>
      </c>
      <c r="AU96">
        <f t="shared" si="80"/>
        <v>2.2370462528404709E-13</v>
      </c>
      <c r="AV96">
        <f t="shared" si="80"/>
        <v>1.823998775918055E-13</v>
      </c>
      <c r="AW96">
        <f t="shared" si="80"/>
        <v>1.4272506844712302E-13</v>
      </c>
      <c r="AX96">
        <f t="shared" si="80"/>
        <v>1.0717712816540746E-13</v>
      </c>
      <c r="AY96">
        <f t="shared" si="80"/>
        <v>7.7237838262773258E-14</v>
      </c>
      <c r="AZ96">
        <f t="shared" si="80"/>
        <v>5.3417584177749712E-14</v>
      </c>
      <c r="BA96">
        <f t="shared" si="80"/>
        <v>3.5453940734346988E-14</v>
      </c>
    </row>
    <row r="97" spans="1:53" hidden="1" x14ac:dyDescent="0.25">
      <c r="A97" s="1">
        <v>6</v>
      </c>
      <c r="B97" s="2">
        <f t="shared" si="81"/>
        <v>-2.0339252247313473</v>
      </c>
      <c r="C97">
        <f t="shared" si="76"/>
        <v>2.2905899296016134E-26</v>
      </c>
      <c r="D97">
        <f t="shared" si="76"/>
        <v>1.1358458600333703E-25</v>
      </c>
      <c r="E97">
        <f t="shared" si="76"/>
        <v>5.4052724634034219E-25</v>
      </c>
      <c r="F97">
        <f t="shared" si="76"/>
        <v>2.4685499514690365E-24</v>
      </c>
      <c r="G97">
        <f t="shared" si="76"/>
        <v>1.0819131202754256E-23</v>
      </c>
      <c r="H97">
        <f t="shared" si="76"/>
        <v>4.5506034713822779E-23</v>
      </c>
      <c r="I97">
        <f t="shared" si="76"/>
        <v>1.836841735400437E-22</v>
      </c>
      <c r="J97">
        <f t="shared" si="76"/>
        <v>7.1154213377380109E-22</v>
      </c>
      <c r="K97">
        <f t="shared" si="76"/>
        <v>2.6451825164800172E-21</v>
      </c>
      <c r="L97">
        <f t="shared" si="76"/>
        <v>9.4370619010124808E-21</v>
      </c>
      <c r="M97">
        <f t="shared" si="77"/>
        <v>3.2310531523954254E-20</v>
      </c>
      <c r="N97">
        <f t="shared" si="77"/>
        <v>1.0616406509085229E-19</v>
      </c>
      <c r="O97">
        <f t="shared" si="77"/>
        <v>3.3476274105611136E-19</v>
      </c>
      <c r="P97">
        <f t="shared" si="77"/>
        <v>1.0130312188687733E-18</v>
      </c>
      <c r="Q97">
        <f t="shared" si="77"/>
        <v>2.9419458985810884E-18</v>
      </c>
      <c r="R97">
        <f t="shared" si="77"/>
        <v>8.1992225207481273E-18</v>
      </c>
      <c r="S97">
        <f t="shared" si="77"/>
        <v>2.1929907636730615E-17</v>
      </c>
      <c r="T97">
        <f t="shared" si="77"/>
        <v>5.6289458468773587E-17</v>
      </c>
      <c r="U97">
        <f t="shared" si="77"/>
        <v>1.3865753558946196E-16</v>
      </c>
      <c r="V97">
        <f t="shared" si="77"/>
        <v>3.2778269529307231E-16</v>
      </c>
      <c r="W97">
        <f t="shared" si="78"/>
        <v>7.4362623890387077E-16</v>
      </c>
      <c r="X97">
        <f t="shared" si="78"/>
        <v>1.6190099857473363E-15</v>
      </c>
      <c r="Y97">
        <f t="shared" si="78"/>
        <v>3.3827545573571937E-15</v>
      </c>
      <c r="Z97">
        <f t="shared" si="78"/>
        <v>6.7829339284956723E-15</v>
      </c>
      <c r="AA97">
        <f t="shared" si="78"/>
        <v>1.3052413508394368E-14</v>
      </c>
      <c r="AB97">
        <f t="shared" si="78"/>
        <v>2.4104060009121476E-14</v>
      </c>
      <c r="AC97">
        <f t="shared" si="78"/>
        <v>4.2718472413203888E-14</v>
      </c>
      <c r="AD97">
        <f t="shared" si="78"/>
        <v>7.2655311145856035E-14</v>
      </c>
      <c r="AE97">
        <f t="shared" si="78"/>
        <v>1.1858920516269302E-13</v>
      </c>
      <c r="AF97">
        <f t="shared" si="78"/>
        <v>1.8575866788107032E-13</v>
      </c>
      <c r="AG97">
        <f t="shared" si="79"/>
        <v>2.79240981732776E-13</v>
      </c>
      <c r="AH97">
        <f t="shared" si="79"/>
        <v>4.028425745729778E-13</v>
      </c>
      <c r="AI97">
        <f t="shared" si="79"/>
        <v>5.5772191263651637E-13</v>
      </c>
      <c r="AJ97">
        <f t="shared" si="79"/>
        <v>7.4101362207794547E-13</v>
      </c>
      <c r="AK97">
        <f t="shared" si="79"/>
        <v>9.4484553224627786E-13</v>
      </c>
      <c r="AL97">
        <f t="shared" si="79"/>
        <v>1.1561696757467526E-12</v>
      </c>
      <c r="AM97">
        <f t="shared" si="79"/>
        <v>1.3577145541894241E-12</v>
      </c>
      <c r="AN97">
        <f t="shared" si="79"/>
        <v>1.5301059749916488E-12</v>
      </c>
      <c r="AO97">
        <f t="shared" si="79"/>
        <v>1.6548578220448862E-12</v>
      </c>
      <c r="AP97">
        <f t="shared" si="79"/>
        <v>1.7176157017371938E-12</v>
      </c>
      <c r="AQ97">
        <f t="shared" si="80"/>
        <v>1.7108717472377864E-12</v>
      </c>
      <c r="AR97">
        <f t="shared" si="80"/>
        <v>1.6354416207781286E-12</v>
      </c>
      <c r="AS97">
        <f t="shared" si="80"/>
        <v>1.5003023031559254E-12</v>
      </c>
      <c r="AT97">
        <f t="shared" si="80"/>
        <v>1.3208352307349641E-12</v>
      </c>
      <c r="AU97">
        <f t="shared" si="80"/>
        <v>1.1159497809164669E-12</v>
      </c>
      <c r="AV97">
        <f t="shared" si="80"/>
        <v>9.0482959428888147E-13</v>
      </c>
      <c r="AW97">
        <f t="shared" si="80"/>
        <v>7.0406876918315026E-13</v>
      </c>
      <c r="AX97">
        <f t="shared" si="80"/>
        <v>5.257623740527507E-13</v>
      </c>
      <c r="AY97">
        <f t="shared" si="80"/>
        <v>3.767819275711903E-13</v>
      </c>
      <c r="AZ97">
        <f t="shared" si="80"/>
        <v>2.5912944379859162E-13</v>
      </c>
      <c r="BA97">
        <f t="shared" si="80"/>
        <v>1.7102893863754381E-13</v>
      </c>
    </row>
    <row r="98" spans="1:53" hidden="1" x14ac:dyDescent="0.25">
      <c r="A98" s="1">
        <v>7</v>
      </c>
      <c r="B98" s="2">
        <f t="shared" si="81"/>
        <v>-1.8427385568059496</v>
      </c>
      <c r="C98">
        <f t="shared" si="76"/>
        <v>1.3879170502998273E-25</v>
      </c>
      <c r="D98">
        <f t="shared" si="76"/>
        <v>6.8439705147528235E-25</v>
      </c>
      <c r="E98">
        <f t="shared" si="76"/>
        <v>3.2387608965002939E-24</v>
      </c>
      <c r="F98">
        <f t="shared" si="76"/>
        <v>1.4708750557115525E-23</v>
      </c>
      <c r="G98">
        <f t="shared" si="76"/>
        <v>6.4106020363459293E-23</v>
      </c>
      <c r="H98">
        <f t="shared" si="76"/>
        <v>2.6813159392730995E-22</v>
      </c>
      <c r="I98">
        <f t="shared" si="76"/>
        <v>1.0762751204509472E-21</v>
      </c>
      <c r="J98">
        <f t="shared" si="76"/>
        <v>4.1459565923186721E-21</v>
      </c>
      <c r="K98">
        <f t="shared" si="76"/>
        <v>1.5326829948602787E-20</v>
      </c>
      <c r="L98">
        <f t="shared" si="76"/>
        <v>5.437585083599426E-20</v>
      </c>
      <c r="M98">
        <f t="shared" si="77"/>
        <v>1.8513389175616476E-19</v>
      </c>
      <c r="N98">
        <f t="shared" si="77"/>
        <v>6.0491162991923141E-19</v>
      </c>
      <c r="O98">
        <f t="shared" si="77"/>
        <v>1.8968110732639334E-18</v>
      </c>
      <c r="P98">
        <f t="shared" si="77"/>
        <v>5.707978871262941E-18</v>
      </c>
      <c r="Q98">
        <f t="shared" si="77"/>
        <v>1.6484158277187236E-17</v>
      </c>
      <c r="R98">
        <f t="shared" si="77"/>
        <v>4.5685389650892103E-17</v>
      </c>
      <c r="S98">
        <f t="shared" si="77"/>
        <v>1.2151056194448891E-16</v>
      </c>
      <c r="T98">
        <f t="shared" si="77"/>
        <v>3.101536266563111E-16</v>
      </c>
      <c r="U98">
        <f t="shared" si="77"/>
        <v>7.5974147693419003E-16</v>
      </c>
      <c r="V98">
        <f t="shared" si="77"/>
        <v>1.7859979172546459E-15</v>
      </c>
      <c r="W98">
        <f t="shared" si="78"/>
        <v>4.0292312905661426E-15</v>
      </c>
      <c r="X98">
        <f t="shared" si="78"/>
        <v>8.7234763163760363E-15</v>
      </c>
      <c r="Y98">
        <f t="shared" si="78"/>
        <v>1.8125212759364612E-14</v>
      </c>
      <c r="Z98">
        <f t="shared" si="78"/>
        <v>3.6141217481883452E-14</v>
      </c>
      <c r="AA98">
        <f t="shared" si="78"/>
        <v>6.9158980452586061E-14</v>
      </c>
      <c r="AB98">
        <f t="shared" si="78"/>
        <v>1.270049139277799E-13</v>
      </c>
      <c r="AC98">
        <f t="shared" si="78"/>
        <v>2.238301600427846E-13</v>
      </c>
      <c r="AD98">
        <f t="shared" si="78"/>
        <v>3.7856706187497704E-13</v>
      </c>
      <c r="AE98">
        <f t="shared" si="78"/>
        <v>6.1445938541319158E-13</v>
      </c>
      <c r="AF98">
        <f t="shared" si="78"/>
        <v>9.5712724397957373E-13</v>
      </c>
      <c r="AG98">
        <f t="shared" si="79"/>
        <v>1.430778195160137E-12</v>
      </c>
      <c r="AH98">
        <f t="shared" si="79"/>
        <v>2.0525846939608145E-12</v>
      </c>
      <c r="AI98">
        <f t="shared" si="79"/>
        <v>2.825894848091581E-12</v>
      </c>
      <c r="AJ98">
        <f t="shared" si="79"/>
        <v>3.7336796071879031E-12</v>
      </c>
      <c r="AK98">
        <f t="shared" si="79"/>
        <v>4.734174221495362E-12</v>
      </c>
      <c r="AL98">
        <f t="shared" si="79"/>
        <v>5.7607305647541748E-12</v>
      </c>
      <c r="AM98">
        <f t="shared" si="79"/>
        <v>6.7272416578010625E-12</v>
      </c>
      <c r="AN98">
        <f t="shared" si="79"/>
        <v>7.5391543156292969E-12</v>
      </c>
      <c r="AO98">
        <f t="shared" si="79"/>
        <v>8.1083852554974892E-12</v>
      </c>
      <c r="AP98">
        <f t="shared" si="79"/>
        <v>8.3689747234069644E-12</v>
      </c>
      <c r="AQ98">
        <f t="shared" si="80"/>
        <v>8.2896515486067795E-12</v>
      </c>
      <c r="AR98">
        <f t="shared" si="80"/>
        <v>7.8800039187509067E-12</v>
      </c>
      <c r="AS98">
        <f t="shared" si="80"/>
        <v>7.188573702927656E-12</v>
      </c>
      <c r="AT98">
        <f t="shared" si="80"/>
        <v>6.2933975201438779E-12</v>
      </c>
      <c r="AU98">
        <f t="shared" si="80"/>
        <v>5.2875408786300595E-12</v>
      </c>
      <c r="AV98">
        <f t="shared" si="80"/>
        <v>4.2633250874483099E-12</v>
      </c>
      <c r="AW98">
        <f t="shared" si="80"/>
        <v>3.298901132730951E-12</v>
      </c>
      <c r="AX98">
        <f t="shared" si="80"/>
        <v>2.449719102631447E-12</v>
      </c>
      <c r="AY98">
        <f t="shared" si="80"/>
        <v>1.7457796067980304E-12</v>
      </c>
      <c r="AZ98">
        <f t="shared" si="80"/>
        <v>1.1939569879399411E-12</v>
      </c>
      <c r="BA98">
        <f t="shared" si="80"/>
        <v>7.8363547084672281E-13</v>
      </c>
    </row>
    <row r="99" spans="1:53" hidden="1" x14ac:dyDescent="0.25">
      <c r="A99" s="1">
        <v>8</v>
      </c>
      <c r="B99" s="2">
        <f t="shared" si="81"/>
        <v>-1.651551888880552</v>
      </c>
      <c r="C99">
        <f t="shared" si="76"/>
        <v>7.9876508679308143E-25</v>
      </c>
      <c r="D99">
        <f t="shared" si="76"/>
        <v>3.9168438599515772E-24</v>
      </c>
      <c r="E99">
        <f t="shared" si="76"/>
        <v>1.8432302238033724E-23</v>
      </c>
      <c r="F99">
        <f t="shared" si="76"/>
        <v>8.3243253359367726E-23</v>
      </c>
      <c r="G99">
        <f t="shared" si="76"/>
        <v>3.6078182067265212E-22</v>
      </c>
      <c r="H99">
        <f t="shared" si="76"/>
        <v>1.5006049856852854E-21</v>
      </c>
      <c r="I99">
        <f t="shared" si="76"/>
        <v>5.989826772725794E-21</v>
      </c>
      <c r="J99">
        <f t="shared" si="76"/>
        <v>2.2945011451064743E-20</v>
      </c>
      <c r="K99">
        <f t="shared" si="76"/>
        <v>8.4350649956133706E-20</v>
      </c>
      <c r="L99">
        <f t="shared" si="76"/>
        <v>2.9758752840750962E-19</v>
      </c>
      <c r="M99">
        <f t="shared" si="77"/>
        <v>1.0075512773604347E-18</v>
      </c>
      <c r="N99">
        <f t="shared" si="77"/>
        <v>3.2737516321932449E-18</v>
      </c>
      <c r="O99">
        <f t="shared" si="77"/>
        <v>1.0208229763556507E-17</v>
      </c>
      <c r="P99">
        <f t="shared" si="77"/>
        <v>3.0547894595389003E-17</v>
      </c>
      <c r="Q99">
        <f t="shared" si="77"/>
        <v>8.7728008143693907E-17</v>
      </c>
      <c r="R99">
        <f t="shared" si="77"/>
        <v>2.4178056759078769E-16</v>
      </c>
      <c r="S99">
        <f t="shared" si="77"/>
        <v>6.394854317394521E-16</v>
      </c>
      <c r="T99">
        <f t="shared" si="77"/>
        <v>1.6231776570955152E-15</v>
      </c>
      <c r="U99">
        <f t="shared" si="77"/>
        <v>3.9539174274906775E-15</v>
      </c>
      <c r="V99">
        <f t="shared" si="77"/>
        <v>9.2430493799532114E-15</v>
      </c>
      <c r="W99">
        <f t="shared" si="78"/>
        <v>2.073619601535114E-14</v>
      </c>
      <c r="X99">
        <f t="shared" si="78"/>
        <v>4.4644611112504221E-14</v>
      </c>
      <c r="Y99">
        <f t="shared" si="78"/>
        <v>9.2243365018469468E-14</v>
      </c>
      <c r="Z99">
        <f t="shared" si="78"/>
        <v>1.8290575450234043E-13</v>
      </c>
      <c r="AA99">
        <f t="shared" si="78"/>
        <v>3.4805328692922881E-13</v>
      </c>
      <c r="AB99">
        <f t="shared" si="78"/>
        <v>6.3560930754110661E-13</v>
      </c>
      <c r="AC99">
        <f t="shared" si="78"/>
        <v>1.1139376818319109E-12</v>
      </c>
      <c r="AD99">
        <f t="shared" si="78"/>
        <v>1.8735171846443971E-12</v>
      </c>
      <c r="AE99">
        <f t="shared" si="78"/>
        <v>3.0239917715008294E-12</v>
      </c>
      <c r="AF99">
        <f t="shared" si="78"/>
        <v>4.6841378520242283E-12</v>
      </c>
      <c r="AG99">
        <f t="shared" si="79"/>
        <v>6.9631358571877126E-12</v>
      </c>
      <c r="AH99">
        <f t="shared" si="79"/>
        <v>9.9335894824530782E-12</v>
      </c>
      <c r="AI99">
        <f t="shared" si="79"/>
        <v>1.3599836471305195E-11</v>
      </c>
      <c r="AJ99">
        <f t="shared" si="79"/>
        <v>1.786846734506741E-11</v>
      </c>
      <c r="AK99">
        <f t="shared" si="79"/>
        <v>2.2530304316908476E-11</v>
      </c>
      <c r="AL99">
        <f t="shared" si="79"/>
        <v>2.7262956538478871E-11</v>
      </c>
      <c r="AM99">
        <f t="shared" si="79"/>
        <v>3.1659567898813697E-11</v>
      </c>
      <c r="AN99">
        <f t="shared" si="79"/>
        <v>3.5282808989827242E-11</v>
      </c>
      <c r="AO99">
        <f t="shared" si="79"/>
        <v>3.7735270059181555E-11</v>
      </c>
      <c r="AP99">
        <f t="shared" si="79"/>
        <v>3.8730928616885817E-11</v>
      </c>
      <c r="AQ99">
        <f t="shared" si="80"/>
        <v>3.8149995901662678E-11</v>
      </c>
      <c r="AR99">
        <f t="shared" si="80"/>
        <v>3.6062615375654349E-11</v>
      </c>
      <c r="AS99">
        <f t="shared" si="80"/>
        <v>3.2714936580497326E-11</v>
      </c>
      <c r="AT99">
        <f t="shared" si="80"/>
        <v>2.8481383658073661E-11</v>
      </c>
      <c r="AU99">
        <f t="shared" si="80"/>
        <v>2.3795904852562225E-11</v>
      </c>
      <c r="AV99">
        <f t="shared" si="80"/>
        <v>1.9079610385165461E-11</v>
      </c>
      <c r="AW99">
        <f t="shared" si="80"/>
        <v>1.4681246096501469E-11</v>
      </c>
      <c r="AX99">
        <f t="shared" si="80"/>
        <v>1.0841327745291146E-11</v>
      </c>
      <c r="AY99">
        <f t="shared" si="80"/>
        <v>7.6829528415231998E-12</v>
      </c>
      <c r="AZ99">
        <f t="shared" si="80"/>
        <v>5.2251648852503801E-12</v>
      </c>
      <c r="BA99">
        <f t="shared" si="80"/>
        <v>3.4103422872197957E-12</v>
      </c>
    </row>
    <row r="100" spans="1:53" hidden="1" x14ac:dyDescent="0.25">
      <c r="A100" s="1">
        <v>9</v>
      </c>
      <c r="B100" s="2">
        <f t="shared" si="81"/>
        <v>-1.4603652209551545</v>
      </c>
      <c r="C100">
        <f t="shared" si="76"/>
        <v>4.3663046667935067E-24</v>
      </c>
      <c r="D100">
        <f t="shared" si="76"/>
        <v>2.1291378855370931E-23</v>
      </c>
      <c r="E100">
        <f t="shared" si="76"/>
        <v>9.9636778646706078E-23</v>
      </c>
      <c r="F100">
        <f t="shared" si="76"/>
        <v>4.4746771532848677E-22</v>
      </c>
      <c r="G100">
        <f t="shared" si="76"/>
        <v>1.9285454292320676E-21</v>
      </c>
      <c r="H100">
        <f t="shared" si="76"/>
        <v>7.9767169067074022E-21</v>
      </c>
      <c r="I100">
        <f t="shared" si="76"/>
        <v>3.1662457750550277E-20</v>
      </c>
      <c r="J100">
        <f t="shared" si="76"/>
        <v>1.2061219073357056E-19</v>
      </c>
      <c r="K100">
        <f t="shared" si="76"/>
        <v>4.4092419108366339E-19</v>
      </c>
      <c r="L100">
        <f t="shared" si="76"/>
        <v>1.5469019478257863E-18</v>
      </c>
      <c r="M100">
        <f t="shared" si="77"/>
        <v>5.2082015716885581E-18</v>
      </c>
      <c r="N100">
        <f t="shared" si="77"/>
        <v>1.6828248661301723E-17</v>
      </c>
      <c r="O100">
        <f t="shared" si="77"/>
        <v>5.2181456328304701E-17</v>
      </c>
      <c r="P100">
        <f t="shared" si="77"/>
        <v>1.5528146116469984E-16</v>
      </c>
      <c r="Q100">
        <f t="shared" si="77"/>
        <v>4.4345459657442412E-16</v>
      </c>
      <c r="R100">
        <f t="shared" si="77"/>
        <v>1.2153597551524958E-15</v>
      </c>
      <c r="S100">
        <f t="shared" si="77"/>
        <v>3.1965881123764163E-15</v>
      </c>
      <c r="T100">
        <f t="shared" si="77"/>
        <v>8.068534258808384E-15</v>
      </c>
      <c r="U100">
        <f t="shared" si="77"/>
        <v>1.954468850043321E-14</v>
      </c>
      <c r="V100">
        <f t="shared" si="77"/>
        <v>4.5434839409823775E-14</v>
      </c>
      <c r="W100">
        <f t="shared" si="78"/>
        <v>1.0136204877022014E-13</v>
      </c>
      <c r="X100">
        <f t="shared" si="78"/>
        <v>2.170140746331967E-13</v>
      </c>
      <c r="Y100">
        <f t="shared" si="78"/>
        <v>4.4588879719213005E-13</v>
      </c>
      <c r="Z100">
        <f t="shared" si="78"/>
        <v>8.7920744938533149E-13</v>
      </c>
      <c r="AA100">
        <f t="shared" si="78"/>
        <v>1.6637278853240093E-12</v>
      </c>
      <c r="AB100">
        <f t="shared" si="78"/>
        <v>3.0213384031472639E-12</v>
      </c>
      <c r="AC100">
        <f t="shared" si="78"/>
        <v>5.2655359772559937E-12</v>
      </c>
      <c r="AD100">
        <f t="shared" si="78"/>
        <v>8.8066743312958673E-12</v>
      </c>
      <c r="AE100">
        <f t="shared" si="78"/>
        <v>1.4135378014491789E-11</v>
      </c>
      <c r="AF100">
        <f t="shared" si="78"/>
        <v>2.1773540629654349E-11</v>
      </c>
      <c r="AG100">
        <f t="shared" si="79"/>
        <v>3.2186727529107156E-11</v>
      </c>
      <c r="AH100">
        <f t="shared" si="79"/>
        <v>4.5661558395111448E-11</v>
      </c>
      <c r="AI100">
        <f t="shared" si="79"/>
        <v>6.216569223233991E-11</v>
      </c>
      <c r="AJ100">
        <f t="shared" si="79"/>
        <v>8.122261298640364E-11</v>
      </c>
      <c r="AK100">
        <f t="shared" si="79"/>
        <v>1.0184255314155576E-10</v>
      </c>
      <c r="AL100">
        <f t="shared" si="79"/>
        <v>1.225484261735134E-10</v>
      </c>
      <c r="AM100">
        <f t="shared" si="79"/>
        <v>1.4151821319828488E-10</v>
      </c>
      <c r="AN100">
        <f t="shared" si="79"/>
        <v>1.5683503074017022E-10</v>
      </c>
      <c r="AO100">
        <f t="shared" si="79"/>
        <v>1.6680149880285934E-10</v>
      </c>
      <c r="AP100">
        <f t="shared" si="79"/>
        <v>1.7024836996648257E-10</v>
      </c>
      <c r="AQ100">
        <f t="shared" si="80"/>
        <v>1.6676008765559216E-10</v>
      </c>
      <c r="AR100">
        <f t="shared" si="80"/>
        <v>1.5675716678340403E-10</v>
      </c>
      <c r="AS100">
        <f t="shared" si="80"/>
        <v>1.4141283686562421E-10</v>
      </c>
      <c r="AT100">
        <f t="shared" si="80"/>
        <v>1.2242677303740353E-10</v>
      </c>
      <c r="AU100">
        <f t="shared" si="80"/>
        <v>1.0171619566175194E-10</v>
      </c>
      <c r="AV100">
        <f t="shared" si="80"/>
        <v>8.1101699157124471E-11</v>
      </c>
      <c r="AW100">
        <f t="shared" si="80"/>
        <v>6.2057737252783018E-11</v>
      </c>
      <c r="AX100">
        <f t="shared" si="80"/>
        <v>4.5570947445518187E-11</v>
      </c>
      <c r="AY100">
        <f t="shared" si="80"/>
        <v>3.2114881064855496E-11</v>
      </c>
      <c r="AZ100">
        <f t="shared" si="80"/>
        <v>2.1719544674553982E-11</v>
      </c>
      <c r="BA100">
        <f t="shared" si="80"/>
        <v>1.4096823220215008E-11</v>
      </c>
    </row>
    <row r="101" spans="1:53" hidden="1" x14ac:dyDescent="0.25">
      <c r="A101" s="1">
        <v>10</v>
      </c>
      <c r="B101" s="2">
        <f t="shared" si="81"/>
        <v>-1.269178553029757</v>
      </c>
      <c r="C101">
        <f t="shared" si="76"/>
        <v>2.2669836986349396E-23</v>
      </c>
      <c r="D101">
        <f t="shared" si="76"/>
        <v>1.0992860462995093E-22</v>
      </c>
      <c r="E101">
        <f t="shared" si="76"/>
        <v>5.1156305456735963E-22</v>
      </c>
      <c r="F101">
        <f t="shared" si="76"/>
        <v>2.2846189088281144E-21</v>
      </c>
      <c r="G101">
        <f t="shared" si="76"/>
        <v>9.7916188669869483E-21</v>
      </c>
      <c r="H101">
        <f t="shared" si="76"/>
        <v>4.0273685330195906E-20</v>
      </c>
      <c r="I101">
        <f t="shared" si="76"/>
        <v>1.5896971035958933E-19</v>
      </c>
      <c r="J101">
        <f t="shared" si="76"/>
        <v>6.0218998973207122E-19</v>
      </c>
      <c r="K101">
        <f t="shared" si="76"/>
        <v>2.1891666294089357E-18</v>
      </c>
      <c r="L101">
        <f t="shared" si="76"/>
        <v>7.6374828010347676E-18</v>
      </c>
      <c r="M101">
        <f t="shared" si="77"/>
        <v>2.5571005735907332E-17</v>
      </c>
      <c r="N101">
        <f t="shared" si="77"/>
        <v>8.2162096508378021E-17</v>
      </c>
      <c r="O101">
        <f t="shared" si="77"/>
        <v>2.5335025972412703E-16</v>
      </c>
      <c r="P101">
        <f t="shared" si="77"/>
        <v>7.4971695681228155E-16</v>
      </c>
      <c r="Q101">
        <f t="shared" si="77"/>
        <v>2.1291166291647635E-15</v>
      </c>
      <c r="R101">
        <f t="shared" si="77"/>
        <v>5.8026678080956342E-15</v>
      </c>
      <c r="S101">
        <f t="shared" si="77"/>
        <v>1.5176866150743027E-14</v>
      </c>
      <c r="T101">
        <f t="shared" si="77"/>
        <v>3.8094531575635643E-14</v>
      </c>
      <c r="U101">
        <f t="shared" si="77"/>
        <v>9.1763360553594771E-14</v>
      </c>
      <c r="V101">
        <f t="shared" si="77"/>
        <v>2.121300139744519E-13</v>
      </c>
      <c r="W101">
        <f t="shared" si="78"/>
        <v>4.7060991163920195E-13</v>
      </c>
      <c r="X101">
        <f t="shared" si="78"/>
        <v>1.0019502485811002E-12</v>
      </c>
      <c r="Y101">
        <f t="shared" si="78"/>
        <v>2.0471863797639426E-12</v>
      </c>
      <c r="Z101">
        <f t="shared" si="78"/>
        <v>4.0141606382187213E-12</v>
      </c>
      <c r="AA101">
        <f t="shared" si="78"/>
        <v>7.5536742331825963E-12</v>
      </c>
      <c r="AB101">
        <f t="shared" si="78"/>
        <v>1.3641052884918337E-11</v>
      </c>
      <c r="AC101">
        <f t="shared" si="78"/>
        <v>2.3640881857104246E-11</v>
      </c>
      <c r="AD101">
        <f t="shared" si="78"/>
        <v>3.9319283128019104E-11</v>
      </c>
      <c r="AE101">
        <f t="shared" si="78"/>
        <v>6.2758657976000362E-11</v>
      </c>
      <c r="AF101">
        <f t="shared" si="78"/>
        <v>9.6131970287712683E-11</v>
      </c>
      <c r="AG101">
        <f t="shared" si="79"/>
        <v>1.413149722191536E-10</v>
      </c>
      <c r="AH101">
        <f t="shared" si="79"/>
        <v>1.9935845068402674E-10</v>
      </c>
      <c r="AI101">
        <f t="shared" si="79"/>
        <v>2.6990271967137566E-10</v>
      </c>
      <c r="AJ101">
        <f t="shared" si="79"/>
        <v>3.5067597252844707E-10</v>
      </c>
      <c r="AK101">
        <f t="shared" si="79"/>
        <v>4.3725108711560503E-10</v>
      </c>
      <c r="AL101">
        <f t="shared" si="79"/>
        <v>5.2321709382858018E-10</v>
      </c>
      <c r="AM101">
        <f t="shared" si="79"/>
        <v>6.0084034801875238E-10</v>
      </c>
      <c r="AN101">
        <f t="shared" si="79"/>
        <v>6.6215916152386903E-10</v>
      </c>
      <c r="AO101">
        <f t="shared" si="79"/>
        <v>7.0031242868090263E-10</v>
      </c>
      <c r="AP101">
        <f t="shared" si="79"/>
        <v>7.1079999191962049E-10</v>
      </c>
      <c r="AQ101">
        <f t="shared" si="80"/>
        <v>6.9235547822029806E-10</v>
      </c>
      <c r="AR101">
        <f t="shared" si="80"/>
        <v>6.4719773699588822E-10</v>
      </c>
      <c r="AS101">
        <f t="shared" si="80"/>
        <v>5.8059191752535357E-10</v>
      </c>
      <c r="AT101">
        <f t="shared" si="80"/>
        <v>4.998401288320836E-10</v>
      </c>
      <c r="AU101">
        <f t="shared" si="80"/>
        <v>4.1296894326351652E-10</v>
      </c>
      <c r="AV101">
        <f t="shared" si="80"/>
        <v>3.2743854623798527E-10</v>
      </c>
      <c r="AW101">
        <f t="shared" si="80"/>
        <v>2.4915428061717016E-10</v>
      </c>
      <c r="AX101">
        <f t="shared" si="80"/>
        <v>1.819420321068948E-10</v>
      </c>
      <c r="AY101">
        <f t="shared" si="80"/>
        <v>1.2750401704160983E-10</v>
      </c>
      <c r="AZ101">
        <f t="shared" si="80"/>
        <v>8.5751323650782766E-11</v>
      </c>
      <c r="BA101">
        <f t="shared" si="80"/>
        <v>5.5345706534843537E-11</v>
      </c>
    </row>
    <row r="102" spans="1:53" hidden="1" x14ac:dyDescent="0.25">
      <c r="A102" s="1">
        <v>11</v>
      </c>
      <c r="B102" s="2">
        <f t="shared" si="81"/>
        <v>-1.0779918851043595</v>
      </c>
      <c r="C102">
        <f t="shared" ref="C102:L111" si="82">SQRT($I$14*$J$14-$K$14^2)/PI()*EXP(-($I$14*((C$91-$C$14)^2)+2*$K$14*(C$91-$C$14)*($B102-$C$15)+$J$14*(($B102-$C$15)^2)))</f>
        <v>1.1179494262074694E-22</v>
      </c>
      <c r="D102">
        <f t="shared" si="82"/>
        <v>5.3908474444370655E-22</v>
      </c>
      <c r="E102">
        <f t="shared" si="82"/>
        <v>2.4946984942150632E-21</v>
      </c>
      <c r="F102">
        <f t="shared" si="82"/>
        <v>1.107911898113094E-20</v>
      </c>
      <c r="G102">
        <f t="shared" si="82"/>
        <v>4.7219189286029147E-20</v>
      </c>
      <c r="H102">
        <f t="shared" si="82"/>
        <v>1.9313365735310995E-19</v>
      </c>
      <c r="I102">
        <f t="shared" si="82"/>
        <v>7.5809484185179969E-19</v>
      </c>
      <c r="J102">
        <f t="shared" si="82"/>
        <v>2.8557175928647975E-18</v>
      </c>
      <c r="K102">
        <f t="shared" si="82"/>
        <v>1.0323646162444366E-17</v>
      </c>
      <c r="L102">
        <f t="shared" si="82"/>
        <v>3.5816001803770459E-17</v>
      </c>
      <c r="M102">
        <f t="shared" ref="M102:V111" si="83">SQRT($I$14*$J$14-$K$14^2)/PI()*EXP(-($I$14*((M$91-$C$14)^2)+2*$K$14*(M$91-$C$14)*($B102-$C$15)+$J$14*(($B102-$C$15)^2)))</f>
        <v>1.1924693743301841E-16</v>
      </c>
      <c r="N102">
        <f t="shared" si="83"/>
        <v>3.8101625439539206E-16</v>
      </c>
      <c r="O102">
        <f t="shared" si="83"/>
        <v>1.1683310292768583E-15</v>
      </c>
      <c r="P102">
        <f t="shared" si="83"/>
        <v>3.4380679620524881E-15</v>
      </c>
      <c r="Q102">
        <f t="shared" si="83"/>
        <v>9.7093273165245597E-15</v>
      </c>
      <c r="R102">
        <f t="shared" si="83"/>
        <v>2.6314187522458669E-14</v>
      </c>
      <c r="S102">
        <f t="shared" si="83"/>
        <v>6.8441091481547602E-14</v>
      </c>
      <c r="T102">
        <f t="shared" si="83"/>
        <v>1.7083231535889259E-13</v>
      </c>
      <c r="U102">
        <f t="shared" si="83"/>
        <v>4.0921285269318139E-13</v>
      </c>
      <c r="V102">
        <f t="shared" si="83"/>
        <v>9.4070757857114101E-13</v>
      </c>
      <c r="W102">
        <f t="shared" ref="W102:AF111" si="84">SQRT($I$14*$J$14-$K$14^2)/PI()*EXP(-($I$14*((W$91-$C$14)^2)+2*$K$14*(W$91-$C$14)*($B102-$C$15)+$J$14*(($B102-$C$15)^2)))</f>
        <v>2.075325194260068E-12</v>
      </c>
      <c r="X102">
        <f t="shared" si="84"/>
        <v>4.3938356926204565E-12</v>
      </c>
      <c r="Y102">
        <f t="shared" si="84"/>
        <v>8.9274536687023004E-12</v>
      </c>
      <c r="Z102">
        <f t="shared" si="84"/>
        <v>1.740754537917502E-11</v>
      </c>
      <c r="AA102">
        <f t="shared" si="84"/>
        <v>3.2574188519897999E-11</v>
      </c>
      <c r="AB102">
        <f t="shared" si="84"/>
        <v>5.849729894752183E-11</v>
      </c>
      <c r="AC102">
        <f t="shared" si="84"/>
        <v>1.0081476912503668E-10</v>
      </c>
      <c r="AD102">
        <f t="shared" si="84"/>
        <v>1.6673955757082372E-10</v>
      </c>
      <c r="AE102">
        <f t="shared" si="84"/>
        <v>2.6465449107949609E-10</v>
      </c>
      <c r="AF102">
        <f t="shared" si="84"/>
        <v>4.0313084610726073E-10</v>
      </c>
      <c r="AG102">
        <f t="shared" ref="AG102:AP111" si="85">SQRT($I$14*$J$14-$K$14^2)/PI()*EXP(-($I$14*((AG$91-$C$14)^2)+2*$K$14*(AG$91-$C$14)*($B102-$C$15)+$J$14*(($B102-$C$15)^2)))</f>
        <v>5.8930337778776303E-10</v>
      </c>
      <c r="AH102">
        <f t="shared" si="85"/>
        <v>8.267190958422287E-10</v>
      </c>
      <c r="AI102">
        <f t="shared" si="85"/>
        <v>1.113020456764873E-9</v>
      </c>
      <c r="AJ102">
        <f t="shared" si="85"/>
        <v>1.4380515757296565E-9</v>
      </c>
      <c r="AK102">
        <f t="shared" si="85"/>
        <v>1.7830844661905277E-9</v>
      </c>
      <c r="AL102">
        <f t="shared" si="85"/>
        <v>2.121756343513485E-9</v>
      </c>
      <c r="AM102">
        <f t="shared" si="85"/>
        <v>2.4229543982899914E-9</v>
      </c>
      <c r="AN102">
        <f t="shared" si="85"/>
        <v>2.6553459456791107E-9</v>
      </c>
      <c r="AO102">
        <f t="shared" si="85"/>
        <v>2.7926924976451084E-9</v>
      </c>
      <c r="AP102">
        <f t="shared" si="85"/>
        <v>2.8187156382762031E-9</v>
      </c>
      <c r="AQ102">
        <f t="shared" ref="AQ102:BA111" si="86">SQRT($I$14*$J$14-$K$14^2)/PI()*EXP(-($I$14*((AQ$91-$C$14)^2)+2*$K$14*(AQ$91-$C$14)*($B102-$C$15)+$J$14*(($B102-$C$15)^2)))</f>
        <v>2.7302697042389295E-9</v>
      </c>
      <c r="AR102">
        <f t="shared" si="86"/>
        <v>2.5379670163274856E-9</v>
      </c>
      <c r="AS102">
        <f t="shared" si="86"/>
        <v>2.2640840005682499E-9</v>
      </c>
      <c r="AT102">
        <f t="shared" si="86"/>
        <v>1.9383189259043227E-9</v>
      </c>
      <c r="AU102">
        <f t="shared" si="86"/>
        <v>1.592516993370924E-9</v>
      </c>
      <c r="AV102">
        <f t="shared" si="86"/>
        <v>1.255651306251101E-9</v>
      </c>
      <c r="AW102">
        <f t="shared" si="86"/>
        <v>9.5012373813472564E-10</v>
      </c>
      <c r="AX102">
        <f t="shared" si="86"/>
        <v>6.8994968896633509E-10</v>
      </c>
      <c r="AY102">
        <f t="shared" si="86"/>
        <v>4.8081810903978875E-10</v>
      </c>
      <c r="AZ102">
        <f t="shared" si="86"/>
        <v>3.2156616592672305E-10</v>
      </c>
      <c r="BA102">
        <f t="shared" si="86"/>
        <v>2.063887484164478E-10</v>
      </c>
    </row>
    <row r="103" spans="1:53" hidden="1" x14ac:dyDescent="0.25">
      <c r="A103" s="1">
        <v>12</v>
      </c>
      <c r="B103" s="2">
        <f t="shared" si="81"/>
        <v>-0.88680521717896177</v>
      </c>
      <c r="C103">
        <f t="shared" si="82"/>
        <v>5.2364301721274143E-22</v>
      </c>
      <c r="D103">
        <f t="shared" si="82"/>
        <v>2.5109771899027715E-21</v>
      </c>
      <c r="E103">
        <f t="shared" si="82"/>
        <v>1.1555170472111798E-20</v>
      </c>
      <c r="F103">
        <f t="shared" si="82"/>
        <v>5.1031235716778701E-20</v>
      </c>
      <c r="G103">
        <f t="shared" si="82"/>
        <v>2.1628278402279383E-19</v>
      </c>
      <c r="H103">
        <f t="shared" si="82"/>
        <v>8.7969871198156094E-19</v>
      </c>
      <c r="I103">
        <f t="shared" si="82"/>
        <v>3.4337770956761385E-18</v>
      </c>
      <c r="J103">
        <f t="shared" si="82"/>
        <v>1.2862825597587992E-17</v>
      </c>
      <c r="K103">
        <f t="shared" si="82"/>
        <v>4.6240955709911276E-17</v>
      </c>
      <c r="L103">
        <f t="shared" si="82"/>
        <v>1.595303655274948E-16</v>
      </c>
      <c r="M103">
        <f t="shared" si="83"/>
        <v>5.2818499278195636E-16</v>
      </c>
      <c r="N103">
        <f t="shared" si="83"/>
        <v>1.6782431886945735E-15</v>
      </c>
      <c r="O103">
        <f t="shared" si="83"/>
        <v>5.117405922666254E-15</v>
      </c>
      <c r="P103">
        <f t="shared" si="83"/>
        <v>1.4975143064432385E-14</v>
      </c>
      <c r="Q103">
        <f t="shared" si="83"/>
        <v>4.205505751334065E-14</v>
      </c>
      <c r="R103">
        <f t="shared" si="83"/>
        <v>1.1334219548835372E-13</v>
      </c>
      <c r="S103">
        <f t="shared" si="83"/>
        <v>2.9315084405186049E-13</v>
      </c>
      <c r="T103">
        <f t="shared" si="83"/>
        <v>7.2764041944663214E-13</v>
      </c>
      <c r="U103">
        <f t="shared" si="83"/>
        <v>1.7332795800841764E-12</v>
      </c>
      <c r="V103">
        <f t="shared" si="83"/>
        <v>3.962292789396722E-12</v>
      </c>
      <c r="W103">
        <f t="shared" si="84"/>
        <v>8.6926190266294747E-12</v>
      </c>
      <c r="X103">
        <f t="shared" si="84"/>
        <v>1.8301254760185753E-11</v>
      </c>
      <c r="Y103">
        <f t="shared" si="84"/>
        <v>3.6977472738748018E-11</v>
      </c>
      <c r="Z103">
        <f t="shared" si="84"/>
        <v>7.1700093663039639E-11</v>
      </c>
      <c r="AA103">
        <f t="shared" si="84"/>
        <v>1.3342228031978768E-10</v>
      </c>
      <c r="AB103">
        <f t="shared" si="84"/>
        <v>2.3826658117907949E-10</v>
      </c>
      <c r="AC103">
        <f t="shared" si="84"/>
        <v>4.0834199491921072E-10</v>
      </c>
      <c r="AD103">
        <f t="shared" si="84"/>
        <v>6.7160063408250127E-10</v>
      </c>
      <c r="AE103">
        <f t="shared" si="84"/>
        <v>1.0600449643975568E-9</v>
      </c>
      <c r="AF103">
        <f t="shared" si="84"/>
        <v>1.6056970726593134E-9</v>
      </c>
      <c r="AG103">
        <f t="shared" si="85"/>
        <v>2.3341517231650354E-9</v>
      </c>
      <c r="AH103">
        <f t="shared" si="85"/>
        <v>3.2562720959718598E-9</v>
      </c>
      <c r="AI103">
        <f t="shared" si="85"/>
        <v>4.3595175602734623E-9</v>
      </c>
      <c r="AJ103">
        <f t="shared" si="85"/>
        <v>5.6012159076845974E-9</v>
      </c>
      <c r="AK103">
        <f t="shared" si="85"/>
        <v>6.9064096422205498E-9</v>
      </c>
      <c r="AL103">
        <f t="shared" si="85"/>
        <v>8.172378891590247E-9</v>
      </c>
      <c r="AM103">
        <f t="shared" si="85"/>
        <v>9.2804875192116644E-9</v>
      </c>
      <c r="AN103">
        <f t="shared" si="85"/>
        <v>1.011391331718237E-8</v>
      </c>
      <c r="AO103">
        <f t="shared" si="85"/>
        <v>1.0577762257149962E-8</v>
      </c>
      <c r="AP103">
        <f t="shared" si="85"/>
        <v>1.0616821478496478E-8</v>
      </c>
      <c r="AQ103">
        <f t="shared" si="86"/>
        <v>1.0226366807900918E-8</v>
      </c>
      <c r="AR103">
        <f t="shared" si="86"/>
        <v>9.4531022681416134E-9</v>
      </c>
      <c r="AS103">
        <f t="shared" si="86"/>
        <v>8.3859734832195523E-9</v>
      </c>
      <c r="AT103">
        <f t="shared" si="86"/>
        <v>7.1393512890901649E-9</v>
      </c>
      <c r="AU103">
        <f t="shared" si="86"/>
        <v>5.8329755663425012E-9</v>
      </c>
      <c r="AV103">
        <f t="shared" si="86"/>
        <v>4.5734896557900124E-9</v>
      </c>
      <c r="AW103">
        <f t="shared" si="86"/>
        <v>3.4413701196582956E-9</v>
      </c>
      <c r="AX103">
        <f t="shared" si="86"/>
        <v>2.4850847508464119E-9</v>
      </c>
      <c r="AY103">
        <f t="shared" si="86"/>
        <v>1.7221745371270249E-9</v>
      </c>
      <c r="AZ103">
        <f t="shared" si="86"/>
        <v>1.1453527465364879E-9</v>
      </c>
      <c r="BA103">
        <f t="shared" si="86"/>
        <v>7.3101703566030535E-10</v>
      </c>
    </row>
    <row r="104" spans="1:53" hidden="1" x14ac:dyDescent="0.25">
      <c r="A104" s="1">
        <v>13</v>
      </c>
      <c r="B104" s="2">
        <f t="shared" si="81"/>
        <v>-0.69561854925356403</v>
      </c>
      <c r="C104">
        <f t="shared" si="82"/>
        <v>2.3296349591908317E-21</v>
      </c>
      <c r="D104">
        <f t="shared" si="82"/>
        <v>1.1108819038313948E-20</v>
      </c>
      <c r="E104">
        <f t="shared" si="82"/>
        <v>5.0836313358851804E-20</v>
      </c>
      <c r="F104">
        <f t="shared" si="82"/>
        <v>2.2325764656692976E-19</v>
      </c>
      <c r="G104">
        <f t="shared" si="82"/>
        <v>9.4094616205788999E-19</v>
      </c>
      <c r="H104">
        <f t="shared" si="82"/>
        <v>3.805829660768628E-18</v>
      </c>
      <c r="I104">
        <f t="shared" si="82"/>
        <v>1.4772706049591783E-17</v>
      </c>
      <c r="J104">
        <f t="shared" si="82"/>
        <v>5.5029669494100637E-17</v>
      </c>
      <c r="K104">
        <f t="shared" si="82"/>
        <v>1.9672515274059006E-16</v>
      </c>
      <c r="L104">
        <f t="shared" si="82"/>
        <v>6.7491490040171643E-16</v>
      </c>
      <c r="M104">
        <f t="shared" si="83"/>
        <v>2.222103482630105E-15</v>
      </c>
      <c r="N104">
        <f t="shared" si="83"/>
        <v>7.0211084637094225E-15</v>
      </c>
      <c r="O104">
        <f t="shared" si="83"/>
        <v>2.1289880452620004E-14</v>
      </c>
      <c r="P104">
        <f t="shared" si="83"/>
        <v>6.1953650563439903E-14</v>
      </c>
      <c r="Q104">
        <f t="shared" si="83"/>
        <v>1.7301618015555679E-13</v>
      </c>
      <c r="R104">
        <f t="shared" si="83"/>
        <v>4.6369528032693423E-13</v>
      </c>
      <c r="S104">
        <f t="shared" si="83"/>
        <v>1.1926273648658133E-12</v>
      </c>
      <c r="T104">
        <f t="shared" si="83"/>
        <v>2.9437640889332377E-12</v>
      </c>
      <c r="U104">
        <f t="shared" si="83"/>
        <v>6.9731237809723166E-12</v>
      </c>
      <c r="V104">
        <f t="shared" si="83"/>
        <v>1.5851774456936304E-11</v>
      </c>
      <c r="W104">
        <f t="shared" si="84"/>
        <v>3.4582352469293023E-11</v>
      </c>
      <c r="X104">
        <f t="shared" si="84"/>
        <v>7.240312642605275E-11</v>
      </c>
      <c r="Y104">
        <f t="shared" si="84"/>
        <v>1.4547428963738234E-10</v>
      </c>
      <c r="Z104">
        <f t="shared" si="84"/>
        <v>2.8050545346351725E-10</v>
      </c>
      <c r="AA104">
        <f t="shared" si="84"/>
        <v>5.1906591494564353E-10</v>
      </c>
      <c r="AB104">
        <f t="shared" si="84"/>
        <v>9.2178545743386345E-10</v>
      </c>
      <c r="AC104">
        <f t="shared" si="84"/>
        <v>1.5709535047105939E-9</v>
      </c>
      <c r="AD104">
        <f t="shared" si="84"/>
        <v>2.5693481117022274E-9</v>
      </c>
      <c r="AE104">
        <f t="shared" si="84"/>
        <v>4.0328187673178092E-9</v>
      </c>
      <c r="AF104">
        <f t="shared" si="84"/>
        <v>6.0746407646917636E-9</v>
      </c>
      <c r="AG104">
        <f t="shared" si="85"/>
        <v>8.7812963397567614E-9</v>
      </c>
      <c r="AH104">
        <f t="shared" si="85"/>
        <v>1.2182118089037097E-8</v>
      </c>
      <c r="AI104">
        <f t="shared" si="85"/>
        <v>1.621859075030419E-8</v>
      </c>
      <c r="AJ104">
        <f t="shared" si="85"/>
        <v>2.0721899537546133E-8</v>
      </c>
      <c r="AK104">
        <f t="shared" si="85"/>
        <v>2.5408097714441235E-8</v>
      </c>
      <c r="AL104">
        <f t="shared" si="85"/>
        <v>2.9897913188460089E-8</v>
      </c>
      <c r="AM104">
        <f t="shared" si="85"/>
        <v>3.376258888927862E-8</v>
      </c>
      <c r="AN104">
        <f t="shared" si="85"/>
        <v>3.6589522603547958E-8</v>
      </c>
      <c r="AO104">
        <f t="shared" si="85"/>
        <v>3.8054312839865637E-8</v>
      </c>
      <c r="AP104">
        <f t="shared" si="85"/>
        <v>3.7981941770138323E-8</v>
      </c>
      <c r="AQ104">
        <f t="shared" si="86"/>
        <v>3.6381163293902647E-8</v>
      </c>
      <c r="AR104">
        <f t="shared" si="86"/>
        <v>3.3442761991515E-8</v>
      </c>
      <c r="AS104">
        <f t="shared" si="86"/>
        <v>2.9502161286808923E-8</v>
      </c>
      <c r="AT104">
        <f t="shared" si="86"/>
        <v>2.4976504973037353E-8</v>
      </c>
      <c r="AU104">
        <f t="shared" si="86"/>
        <v>2.0292503904819172E-8</v>
      </c>
      <c r="AV104">
        <f t="shared" si="86"/>
        <v>1.5822159147381895E-8</v>
      </c>
      <c r="AW104">
        <f t="shared" si="86"/>
        <v>1.1839190191709708E-8</v>
      </c>
      <c r="AX104">
        <f t="shared" si="86"/>
        <v>8.5016727651335271E-9</v>
      </c>
      <c r="AY104">
        <f t="shared" si="86"/>
        <v>5.8588571666931141E-9</v>
      </c>
      <c r="AZ104">
        <f t="shared" si="86"/>
        <v>3.8747846865928035E-9</v>
      </c>
      <c r="BA104">
        <f t="shared" si="86"/>
        <v>2.4592822623573873E-9</v>
      </c>
    </row>
    <row r="105" spans="1:53" hidden="1" x14ac:dyDescent="0.25">
      <c r="A105" s="1">
        <v>14</v>
      </c>
      <c r="B105" s="2">
        <f t="shared" si="81"/>
        <v>-0.50443188132816674</v>
      </c>
      <c r="C105">
        <f t="shared" si="82"/>
        <v>9.8441864824430362E-21</v>
      </c>
      <c r="D105">
        <f t="shared" si="82"/>
        <v>4.6680168595751746E-20</v>
      </c>
      <c r="E105">
        <f t="shared" si="82"/>
        <v>2.1242769573030271E-19</v>
      </c>
      <c r="F105">
        <f t="shared" si="82"/>
        <v>9.2771803396948915E-19</v>
      </c>
      <c r="G105">
        <f t="shared" si="82"/>
        <v>3.8881856955740143E-18</v>
      </c>
      <c r="H105">
        <f t="shared" si="82"/>
        <v>1.563882557683939E-17</v>
      </c>
      <c r="I105">
        <f t="shared" si="82"/>
        <v>6.0365306779228184E-17</v>
      </c>
      <c r="J105">
        <f t="shared" si="82"/>
        <v>2.2361288599290118E-16</v>
      </c>
      <c r="K105">
        <f t="shared" si="82"/>
        <v>7.9493639298418785E-16</v>
      </c>
      <c r="L105">
        <f t="shared" si="82"/>
        <v>2.7120273908346287E-15</v>
      </c>
      <c r="M105">
        <f t="shared" si="83"/>
        <v>8.8793648543990354E-15</v>
      </c>
      <c r="N105">
        <f t="shared" si="83"/>
        <v>2.7899464667282791E-14</v>
      </c>
      <c r="O105">
        <f t="shared" si="83"/>
        <v>8.4127111402303915E-14</v>
      </c>
      <c r="P105">
        <f t="shared" si="83"/>
        <v>2.4344576431563728E-13</v>
      </c>
      <c r="Q105">
        <f t="shared" si="83"/>
        <v>6.7607457949433872E-13</v>
      </c>
      <c r="R105">
        <f t="shared" si="83"/>
        <v>1.8018271607080638E-12</v>
      </c>
      <c r="S105">
        <f t="shared" si="83"/>
        <v>4.6084808813938673E-12</v>
      </c>
      <c r="T105">
        <f t="shared" si="83"/>
        <v>1.131171851793754E-11</v>
      </c>
      <c r="U105">
        <f t="shared" si="83"/>
        <v>2.6645601436883635E-11</v>
      </c>
      <c r="V105">
        <f t="shared" si="83"/>
        <v>6.0234956887707899E-11</v>
      </c>
      <c r="W105">
        <f t="shared" si="84"/>
        <v>1.3067659771462116E-10</v>
      </c>
      <c r="X105">
        <f t="shared" si="84"/>
        <v>2.7206531121198272E-10</v>
      </c>
      <c r="Y105">
        <f t="shared" si="84"/>
        <v>5.4359401169122418E-10</v>
      </c>
      <c r="Z105">
        <f t="shared" si="84"/>
        <v>1.0423229353605868E-9</v>
      </c>
      <c r="AA105">
        <f t="shared" si="84"/>
        <v>1.9180329465439422E-9</v>
      </c>
      <c r="AB105">
        <f t="shared" si="84"/>
        <v>3.38716201325872E-9</v>
      </c>
      <c r="AC105">
        <f t="shared" si="84"/>
        <v>5.7403981505040466E-9</v>
      </c>
      <c r="AD105">
        <f t="shared" si="84"/>
        <v>9.3362871389210603E-9</v>
      </c>
      <c r="AE105">
        <f t="shared" si="84"/>
        <v>1.4572448283101873E-8</v>
      </c>
      <c r="AF105">
        <f t="shared" si="84"/>
        <v>2.1828152730100609E-8</v>
      </c>
      <c r="AG105">
        <f t="shared" si="85"/>
        <v>3.1378167968732254E-8</v>
      </c>
      <c r="AH105">
        <f t="shared" si="85"/>
        <v>4.3287681108023797E-8</v>
      </c>
      <c r="AI105">
        <f t="shared" si="85"/>
        <v>5.730957636550752E-8</v>
      </c>
      <c r="AJ105">
        <f t="shared" si="85"/>
        <v>7.2814221940572742E-8</v>
      </c>
      <c r="AK105">
        <f t="shared" si="85"/>
        <v>8.8783317046223601E-8</v>
      </c>
      <c r="AL105">
        <f t="shared" si="85"/>
        <v>1.0388973984564673E-7</v>
      </c>
      <c r="AM105">
        <f t="shared" si="85"/>
        <v>1.1666486671603643E-7</v>
      </c>
      <c r="AN105">
        <f t="shared" si="85"/>
        <v>1.2572847797798099E-7</v>
      </c>
      <c r="AO105">
        <f t="shared" si="85"/>
        <v>1.3003293512153002E-7</v>
      </c>
      <c r="AP105">
        <f t="shared" si="85"/>
        <v>1.2906224388987781E-7</v>
      </c>
      <c r="AQ105">
        <f t="shared" si="86"/>
        <v>1.2293376875911023E-7</v>
      </c>
      <c r="AR105">
        <f t="shared" si="86"/>
        <v>1.1237490013180004E-7</v>
      </c>
      <c r="AS105">
        <f t="shared" si="86"/>
        <v>9.8581081904012818E-8</v>
      </c>
      <c r="AT105">
        <f t="shared" si="86"/>
        <v>8.2993480873276015E-8</v>
      </c>
      <c r="AU105">
        <f t="shared" si="86"/>
        <v>6.705335587658352E-8</v>
      </c>
      <c r="AV105">
        <f t="shared" si="86"/>
        <v>5.1990404336059059E-8</v>
      </c>
      <c r="AW105">
        <f t="shared" si="86"/>
        <v>3.8685838126378495E-8</v>
      </c>
      <c r="AX105">
        <f t="shared" si="86"/>
        <v>2.7625297519061207E-8</v>
      </c>
      <c r="AY105">
        <f t="shared" si="86"/>
        <v>1.8931632099588111E-8</v>
      </c>
      <c r="AZ105">
        <f t="shared" si="86"/>
        <v>1.2450743518079082E-8</v>
      </c>
      <c r="BA105">
        <f t="shared" si="86"/>
        <v>7.858300932187912E-9</v>
      </c>
    </row>
    <row r="106" spans="1:53" hidden="1" x14ac:dyDescent="0.25">
      <c r="A106" s="1">
        <v>15</v>
      </c>
      <c r="B106" s="2">
        <f t="shared" si="81"/>
        <v>-0.31324521340276901</v>
      </c>
      <c r="C106">
        <f t="shared" si="82"/>
        <v>3.9510378347680814E-20</v>
      </c>
      <c r="D106">
        <f t="shared" si="82"/>
        <v>1.8631007415337761E-19</v>
      </c>
      <c r="E106">
        <f t="shared" si="82"/>
        <v>8.4311657524233391E-19</v>
      </c>
      <c r="F106">
        <f t="shared" si="82"/>
        <v>3.6615507215834633E-18</v>
      </c>
      <c r="G106">
        <f t="shared" si="82"/>
        <v>1.5260494975575998E-17</v>
      </c>
      <c r="H106">
        <f t="shared" si="82"/>
        <v>6.1037723053611791E-17</v>
      </c>
      <c r="I106">
        <f t="shared" si="82"/>
        <v>2.3429022366513628E-16</v>
      </c>
      <c r="J106">
        <f t="shared" si="82"/>
        <v>8.6305037989397041E-16</v>
      </c>
      <c r="K106">
        <f t="shared" si="82"/>
        <v>3.0510144717628906E-15</v>
      </c>
      <c r="L106">
        <f t="shared" si="82"/>
        <v>1.0350909837910786E-14</v>
      </c>
      <c r="M106">
        <f t="shared" si="83"/>
        <v>3.3700700034452614E-14</v>
      </c>
      <c r="N106">
        <f t="shared" si="83"/>
        <v>1.0529929346320461E-13</v>
      </c>
      <c r="O106">
        <f t="shared" si="83"/>
        <v>3.1574619862203849E-13</v>
      </c>
      <c r="P106">
        <f t="shared" si="83"/>
        <v>9.0860880812301127E-13</v>
      </c>
      <c r="Q106">
        <f t="shared" si="83"/>
        <v>2.5092382144536755E-12</v>
      </c>
      <c r="R106">
        <f t="shared" si="83"/>
        <v>6.6501735904674957E-12</v>
      </c>
      <c r="S106">
        <f t="shared" si="83"/>
        <v>1.6914151228665952E-11</v>
      </c>
      <c r="T106">
        <f t="shared" si="83"/>
        <v>4.1285122269259686E-11</v>
      </c>
      <c r="U106">
        <f t="shared" si="83"/>
        <v>9.6708150896264087E-11</v>
      </c>
      <c r="V106">
        <f t="shared" si="83"/>
        <v>2.1739959078296714E-10</v>
      </c>
      <c r="W106">
        <f t="shared" si="84"/>
        <v>4.6900827310282723E-10</v>
      </c>
      <c r="X106">
        <f t="shared" si="84"/>
        <v>9.7102055491461378E-10</v>
      </c>
      <c r="Y106">
        <f t="shared" si="84"/>
        <v>1.9293120710487043E-9</v>
      </c>
      <c r="Z106">
        <f t="shared" si="84"/>
        <v>3.6787703562465692E-9</v>
      </c>
      <c r="AA106">
        <f t="shared" si="84"/>
        <v>6.7317660341108632E-9</v>
      </c>
      <c r="AB106">
        <f t="shared" si="84"/>
        <v>1.1821742275500355E-8</v>
      </c>
      <c r="AC106">
        <f t="shared" si="84"/>
        <v>1.99232460852809E-8</v>
      </c>
      <c r="AD106">
        <f t="shared" si="84"/>
        <v>3.2222916794065009E-8</v>
      </c>
      <c r="AE106">
        <f t="shared" si="84"/>
        <v>5.0014477829905031E-8</v>
      </c>
      <c r="AF106">
        <f t="shared" si="84"/>
        <v>7.4499398538026658E-8</v>
      </c>
      <c r="AG106">
        <f t="shared" si="85"/>
        <v>1.0649664655049249E-7</v>
      </c>
      <c r="AH106">
        <f t="shared" si="85"/>
        <v>1.4609832509544556E-7</v>
      </c>
      <c r="AI106">
        <f t="shared" si="85"/>
        <v>1.9234490202834139E-7</v>
      </c>
      <c r="AJ106">
        <f t="shared" si="85"/>
        <v>2.4302013713088542E-7</v>
      </c>
      <c r="AK106">
        <f t="shared" si="85"/>
        <v>2.9466596866824263E-7</v>
      </c>
      <c r="AL106">
        <f t="shared" si="85"/>
        <v>3.4288133133906742E-7</v>
      </c>
      <c r="AM106">
        <f t="shared" si="85"/>
        <v>3.8289865153858865E-7</v>
      </c>
      <c r="AN106">
        <f t="shared" si="85"/>
        <v>4.1034578073582362E-7</v>
      </c>
      <c r="AO106">
        <f t="shared" si="85"/>
        <v>4.2202895269120142E-7</v>
      </c>
      <c r="AP106">
        <f t="shared" si="85"/>
        <v>4.1654378448730971E-7</v>
      </c>
      <c r="AQ106">
        <f t="shared" si="86"/>
        <v>3.9455287224833819E-7</v>
      </c>
      <c r="AR106">
        <f t="shared" si="86"/>
        <v>3.5865418149819606E-7</v>
      </c>
      <c r="AS106">
        <f t="shared" si="86"/>
        <v>3.1287634267411821E-7</v>
      </c>
      <c r="AT106">
        <f t="shared" si="86"/>
        <v>2.6193630242939489E-7</v>
      </c>
      <c r="AU106">
        <f t="shared" si="86"/>
        <v>2.1044799735539747E-7</v>
      </c>
      <c r="AV106">
        <f t="shared" si="86"/>
        <v>1.6226320151076991E-7</v>
      </c>
      <c r="AW106">
        <f t="shared" si="86"/>
        <v>1.2006638147313557E-7</v>
      </c>
      <c r="AX106">
        <f t="shared" si="86"/>
        <v>8.5260709502801419E-8</v>
      </c>
      <c r="AY106">
        <f t="shared" si="86"/>
        <v>5.8103541078990175E-8</v>
      </c>
      <c r="AZ106">
        <f t="shared" si="86"/>
        <v>3.7999895129403115E-8</v>
      </c>
      <c r="BA106">
        <f t="shared" si="86"/>
        <v>2.38499972692675E-8</v>
      </c>
    </row>
    <row r="107" spans="1:53" hidden="1" x14ac:dyDescent="0.25">
      <c r="A107" s="1">
        <v>16</v>
      </c>
      <c r="B107" s="2">
        <f t="shared" si="81"/>
        <v>-0.12205854547737172</v>
      </c>
      <c r="C107">
        <f t="shared" si="82"/>
        <v>1.5061975743153766E-19</v>
      </c>
      <c r="D107">
        <f t="shared" si="82"/>
        <v>7.0628447576432658E-19</v>
      </c>
      <c r="E107">
        <f t="shared" si="82"/>
        <v>3.178363141001022E-18</v>
      </c>
      <c r="F107">
        <f t="shared" si="82"/>
        <v>1.3726300717429793E-17</v>
      </c>
      <c r="G107">
        <f t="shared" si="82"/>
        <v>5.6889175732131612E-17</v>
      </c>
      <c r="H107">
        <f t="shared" si="82"/>
        <v>2.2627257119014277E-16</v>
      </c>
      <c r="I107">
        <f t="shared" si="82"/>
        <v>8.6369483189366224E-16</v>
      </c>
      <c r="J107">
        <f t="shared" si="82"/>
        <v>3.1638425930685487E-15</v>
      </c>
      <c r="K107">
        <f t="shared" si="82"/>
        <v>1.112232431308374E-14</v>
      </c>
      <c r="L107">
        <f t="shared" si="82"/>
        <v>3.7523416926577905E-14</v>
      </c>
      <c r="M107">
        <f t="shared" si="83"/>
        <v>1.2148854808415516E-13</v>
      </c>
      <c r="N107">
        <f t="shared" si="83"/>
        <v>3.7748043185991602E-13</v>
      </c>
      <c r="O107">
        <f t="shared" si="83"/>
        <v>1.1255885928229018E-12</v>
      </c>
      <c r="P107">
        <f t="shared" si="83"/>
        <v>3.2210024970477871E-12</v>
      </c>
      <c r="Q107">
        <f t="shared" si="83"/>
        <v>8.8456261067184554E-12</v>
      </c>
      <c r="R107">
        <f t="shared" si="83"/>
        <v>2.3312681678536355E-11</v>
      </c>
      <c r="S107">
        <f t="shared" si="83"/>
        <v>5.8963333368930464E-11</v>
      </c>
      <c r="T107">
        <f t="shared" si="83"/>
        <v>1.4311921970169479E-10</v>
      </c>
      <c r="U107">
        <f t="shared" si="83"/>
        <v>3.333803748042047E-10</v>
      </c>
      <c r="V107">
        <f t="shared" si="83"/>
        <v>7.4526073372948381E-10</v>
      </c>
      <c r="W107">
        <f t="shared" si="84"/>
        <v>1.5988311000307224E-9</v>
      </c>
      <c r="X107">
        <f t="shared" si="84"/>
        <v>3.2917214207103318E-9</v>
      </c>
      <c r="Y107">
        <f t="shared" si="84"/>
        <v>6.5038377475395689E-9</v>
      </c>
      <c r="Z107">
        <f t="shared" si="84"/>
        <v>1.2332254010933404E-8</v>
      </c>
      <c r="AA107">
        <f t="shared" si="84"/>
        <v>2.2440956456217486E-8</v>
      </c>
      <c r="AB107">
        <f t="shared" si="84"/>
        <v>3.9189200466136159E-8</v>
      </c>
      <c r="AC107">
        <f t="shared" si="84"/>
        <v>6.5677646480777635E-8</v>
      </c>
      <c r="AD107">
        <f t="shared" si="84"/>
        <v>1.0563185311581275E-7</v>
      </c>
      <c r="AE107">
        <f t="shared" si="84"/>
        <v>1.6304157209287864E-7</v>
      </c>
      <c r="AF107">
        <f t="shared" si="84"/>
        <v>2.4150601300792022E-7</v>
      </c>
      <c r="AG107">
        <f t="shared" si="85"/>
        <v>3.4330780788684769E-7</v>
      </c>
      <c r="AH107">
        <f t="shared" si="85"/>
        <v>4.6834463720916971E-7</v>
      </c>
      <c r="AI107">
        <f t="shared" si="85"/>
        <v>6.1315964079215488E-7</v>
      </c>
      <c r="AJ107">
        <f t="shared" si="85"/>
        <v>7.7038480643998386E-7</v>
      </c>
      <c r="AK107">
        <f t="shared" si="85"/>
        <v>9.2889793070852296E-7</v>
      </c>
      <c r="AL107">
        <f t="shared" si="85"/>
        <v>1.0748662343824758E-6</v>
      </c>
      <c r="AM107">
        <f t="shared" si="85"/>
        <v>1.1936224639000874E-6</v>
      </c>
      <c r="AN107">
        <f t="shared" si="85"/>
        <v>1.2720544026232306E-6</v>
      </c>
      <c r="AO107">
        <f t="shared" si="85"/>
        <v>1.3009797169335675E-6</v>
      </c>
      <c r="AP107">
        <f t="shared" si="85"/>
        <v>1.2769135762997363E-6</v>
      </c>
      <c r="AQ107">
        <f t="shared" si="86"/>
        <v>1.2027590176689767E-6</v>
      </c>
      <c r="AR107">
        <f t="shared" si="86"/>
        <v>1.0872311265949282E-6</v>
      </c>
      <c r="AS107">
        <f t="shared" si="86"/>
        <v>9.431728084526117E-7</v>
      </c>
      <c r="AT107">
        <f t="shared" si="86"/>
        <v>7.8521177617265333E-7</v>
      </c>
      <c r="AU107">
        <f t="shared" si="86"/>
        <v>6.2734793881399099E-7</v>
      </c>
      <c r="AV107">
        <f t="shared" si="86"/>
        <v>4.8101241426340328E-7</v>
      </c>
      <c r="AW107">
        <f t="shared" si="86"/>
        <v>3.53940478069537E-7</v>
      </c>
      <c r="AX107">
        <f t="shared" si="86"/>
        <v>2.4993686594506858E-7</v>
      </c>
      <c r="AY107">
        <f t="shared" si="86"/>
        <v>1.6937782228829083E-7</v>
      </c>
      <c r="AZ107">
        <f t="shared" si="86"/>
        <v>1.1015619047259352E-7</v>
      </c>
      <c r="BA107">
        <f t="shared" si="86"/>
        <v>6.8752328327973385E-8</v>
      </c>
    </row>
    <row r="108" spans="1:53" hidden="1" x14ac:dyDescent="0.25">
      <c r="A108" s="1">
        <v>17</v>
      </c>
      <c r="B108" s="2">
        <f t="shared" si="81"/>
        <v>6.9128122448026019E-2</v>
      </c>
      <c r="C108">
        <f t="shared" si="82"/>
        <v>5.4537107231207638E-19</v>
      </c>
      <c r="D108">
        <f t="shared" si="82"/>
        <v>2.543093813324533E-18</v>
      </c>
      <c r="E108">
        <f t="shared" si="82"/>
        <v>1.1380433435065296E-17</v>
      </c>
      <c r="F108">
        <f t="shared" si="82"/>
        <v>4.8874391454052245E-17</v>
      </c>
      <c r="G108">
        <f t="shared" si="82"/>
        <v>2.0143274053806499E-16</v>
      </c>
      <c r="H108">
        <f t="shared" si="82"/>
        <v>7.9671849399143841E-16</v>
      </c>
      <c r="I108">
        <f t="shared" si="82"/>
        <v>3.0241677232961717E-15</v>
      </c>
      <c r="J108">
        <f t="shared" si="82"/>
        <v>1.1016229826576658E-14</v>
      </c>
      <c r="K108">
        <f t="shared" si="82"/>
        <v>3.851112807526071E-14</v>
      </c>
      <c r="L108">
        <f t="shared" si="82"/>
        <v>1.2920092743406523E-13</v>
      </c>
      <c r="M108">
        <f t="shared" si="83"/>
        <v>4.1597876432668369E-13</v>
      </c>
      <c r="N108">
        <f t="shared" si="83"/>
        <v>1.2852950304156181E-12</v>
      </c>
      <c r="O108">
        <f t="shared" si="83"/>
        <v>3.811190301786201E-12</v>
      </c>
      <c r="P108">
        <f t="shared" si="83"/>
        <v>1.0845375156763107E-11</v>
      </c>
      <c r="Q108">
        <f t="shared" si="83"/>
        <v>2.9617927297869621E-11</v>
      </c>
      <c r="R108">
        <f t="shared" si="83"/>
        <v>7.7623082396667142E-11</v>
      </c>
      <c r="S108">
        <f t="shared" si="83"/>
        <v>1.9523300760052252E-10</v>
      </c>
      <c r="T108">
        <f t="shared" si="83"/>
        <v>4.7123956174519292E-10</v>
      </c>
      <c r="U108">
        <f t="shared" si="83"/>
        <v>1.0915820376711686E-9</v>
      </c>
      <c r="V108">
        <f t="shared" si="83"/>
        <v>2.4265942058070429E-9</v>
      </c>
      <c r="W108">
        <f t="shared" si="84"/>
        <v>5.1768319884346659E-9</v>
      </c>
      <c r="X108">
        <f t="shared" si="84"/>
        <v>1.0598810394825986E-8</v>
      </c>
      <c r="Y108">
        <f t="shared" si="84"/>
        <v>2.0824583020001173E-8</v>
      </c>
      <c r="Z108">
        <f t="shared" si="84"/>
        <v>3.9266450388124863E-8</v>
      </c>
      <c r="AA108">
        <f t="shared" si="84"/>
        <v>7.1054749335340568E-8</v>
      </c>
      <c r="AB108">
        <f t="shared" si="84"/>
        <v>1.2339305541660557E-7</v>
      </c>
      <c r="AC108">
        <f t="shared" si="84"/>
        <v>2.0564325205411235E-7</v>
      </c>
      <c r="AD108">
        <f t="shared" si="84"/>
        <v>3.2890035836009971E-7</v>
      </c>
      <c r="AE108">
        <f t="shared" si="84"/>
        <v>5.0482443585830075E-7</v>
      </c>
      <c r="AF108">
        <f t="shared" si="84"/>
        <v>7.4360538994331966E-7</v>
      </c>
      <c r="AG108">
        <f t="shared" si="85"/>
        <v>1.0511648449257057E-6</v>
      </c>
      <c r="AH108">
        <f t="shared" si="85"/>
        <v>1.4260188467094788E-6</v>
      </c>
      <c r="AI108">
        <f t="shared" si="85"/>
        <v>1.8565465424127937E-6</v>
      </c>
      <c r="AJ108">
        <f t="shared" si="85"/>
        <v>2.3195970914249161E-6</v>
      </c>
      <c r="AK108">
        <f t="shared" si="85"/>
        <v>2.7812844540203691E-6</v>
      </c>
      <c r="AL108">
        <f t="shared" si="85"/>
        <v>3.2004010159266192E-6</v>
      </c>
      <c r="AM108">
        <f t="shared" si="85"/>
        <v>3.5341870350037423E-6</v>
      </c>
      <c r="AN108">
        <f t="shared" si="85"/>
        <v>3.7454223489406897E-6</v>
      </c>
      <c r="AO108">
        <f t="shared" si="85"/>
        <v>3.8092388439248959E-6</v>
      </c>
      <c r="AP108">
        <f t="shared" si="85"/>
        <v>3.7179346292297219E-6</v>
      </c>
      <c r="AQ108">
        <f t="shared" si="86"/>
        <v>3.4825024703321648E-6</v>
      </c>
      <c r="AR108">
        <f t="shared" si="86"/>
        <v>3.13045348690621E-6</v>
      </c>
      <c r="AS108">
        <f t="shared" si="86"/>
        <v>2.7005313041875143E-6</v>
      </c>
      <c r="AT108">
        <f t="shared" si="86"/>
        <v>2.2357195013716899E-6</v>
      </c>
      <c r="AU108">
        <f t="shared" si="86"/>
        <v>1.7762805182131964E-6</v>
      </c>
      <c r="AV108">
        <f t="shared" si="86"/>
        <v>1.3543531701793074E-6</v>
      </c>
      <c r="AW108">
        <f t="shared" si="86"/>
        <v>9.9101092718615588E-7</v>
      </c>
      <c r="AX108">
        <f t="shared" si="86"/>
        <v>6.9590682561562382E-7</v>
      </c>
      <c r="AY108">
        <f t="shared" si="86"/>
        <v>4.6897521120261272E-7</v>
      </c>
      <c r="AZ108">
        <f t="shared" si="86"/>
        <v>3.0330168120205969E-7</v>
      </c>
      <c r="BA108">
        <f t="shared" si="86"/>
        <v>1.8824605604881146E-7</v>
      </c>
    </row>
    <row r="109" spans="1:53" hidden="1" x14ac:dyDescent="0.25">
      <c r="A109" s="1">
        <v>18</v>
      </c>
      <c r="B109" s="2">
        <f t="shared" si="81"/>
        <v>0.26031479037342375</v>
      </c>
      <c r="C109">
        <f t="shared" si="82"/>
        <v>1.8756061657879612E-18</v>
      </c>
      <c r="D109">
        <f t="shared" si="82"/>
        <v>8.6973010133331778E-18</v>
      </c>
      <c r="E109">
        <f t="shared" si="82"/>
        <v>3.8703789520197881E-17</v>
      </c>
      <c r="F109">
        <f t="shared" si="82"/>
        <v>1.6529077490056451E-16</v>
      </c>
      <c r="G109">
        <f t="shared" si="82"/>
        <v>6.7743850921792368E-16</v>
      </c>
      <c r="H109">
        <f t="shared" si="82"/>
        <v>2.664509567664599E-15</v>
      </c>
      <c r="I109">
        <f t="shared" si="82"/>
        <v>1.0057518171802377E-14</v>
      </c>
      <c r="J109">
        <f t="shared" si="82"/>
        <v>3.6432628577771947E-14</v>
      </c>
      <c r="K109">
        <f t="shared" si="82"/>
        <v>1.2665324609029007E-13</v>
      </c>
      <c r="L109">
        <f t="shared" si="82"/>
        <v>4.2254044216539396E-13</v>
      </c>
      <c r="M109">
        <f t="shared" si="83"/>
        <v>1.3528398208398129E-12</v>
      </c>
      <c r="N109">
        <f t="shared" si="83"/>
        <v>4.1567184823877827E-12</v>
      </c>
      <c r="O109">
        <f t="shared" si="83"/>
        <v>1.2256909663565186E-11</v>
      </c>
      <c r="P109">
        <f t="shared" si="83"/>
        <v>3.4684664379472286E-11</v>
      </c>
      <c r="Q109">
        <f t="shared" si="83"/>
        <v>9.4193329017825357E-11</v>
      </c>
      <c r="R109">
        <f t="shared" si="83"/>
        <v>2.4548724631890705E-10</v>
      </c>
      <c r="S109">
        <f t="shared" si="83"/>
        <v>6.1399362366076862E-10</v>
      </c>
      <c r="T109">
        <f t="shared" si="83"/>
        <v>1.4737537600396124E-9</v>
      </c>
      <c r="U109">
        <f t="shared" si="83"/>
        <v>3.3947838679839965E-9</v>
      </c>
      <c r="V109">
        <f t="shared" si="83"/>
        <v>7.5045641061714854E-9</v>
      </c>
      <c r="W109">
        <f t="shared" si="84"/>
        <v>1.5920802408053563E-8</v>
      </c>
      <c r="X109">
        <f t="shared" si="84"/>
        <v>3.2413846521638126E-8</v>
      </c>
      <c r="Y109">
        <f t="shared" si="84"/>
        <v>6.3331872523532337E-8</v>
      </c>
      <c r="Z109">
        <f t="shared" si="84"/>
        <v>1.1875180647674211E-7</v>
      </c>
      <c r="AA109">
        <f t="shared" si="84"/>
        <v>2.1369002968256064E-7</v>
      </c>
      <c r="AB109">
        <f t="shared" si="84"/>
        <v>3.690238473044214E-7</v>
      </c>
      <c r="AC109">
        <f t="shared" si="84"/>
        <v>6.1157643603873351E-7</v>
      </c>
      <c r="AD109">
        <f t="shared" si="84"/>
        <v>9.726871838720776E-7</v>
      </c>
      <c r="AE109">
        <f t="shared" si="84"/>
        <v>1.4846421353477991E-6</v>
      </c>
      <c r="AF109">
        <f t="shared" si="84"/>
        <v>2.1746857508922233E-6</v>
      </c>
      <c r="AG109">
        <f t="shared" si="85"/>
        <v>3.0570136238127507E-6</v>
      </c>
      <c r="AH109">
        <f t="shared" si="85"/>
        <v>4.1240543298613333E-6</v>
      </c>
      <c r="AI109">
        <f t="shared" si="85"/>
        <v>5.3392163628949355E-6</v>
      </c>
      <c r="AJ109">
        <f t="shared" si="85"/>
        <v>6.6337148741800369E-6</v>
      </c>
      <c r="AK109">
        <f t="shared" si="85"/>
        <v>7.9097402216584114E-6</v>
      </c>
      <c r="AL109">
        <f t="shared" si="85"/>
        <v>9.0509419188665527E-6</v>
      </c>
      <c r="AM109">
        <f t="shared" si="85"/>
        <v>9.9392010172729575E-6</v>
      </c>
      <c r="AN109">
        <f t="shared" si="85"/>
        <v>1.0474548423356534E-5</v>
      </c>
      <c r="AO109">
        <f t="shared" si="85"/>
        <v>1.0593641746340562E-5</v>
      </c>
      <c r="AP109">
        <f t="shared" si="85"/>
        <v>1.028208982517702E-5</v>
      </c>
      <c r="AQ109">
        <f t="shared" si="86"/>
        <v>9.5773121767401686E-6</v>
      </c>
      <c r="AR109">
        <f t="shared" si="86"/>
        <v>8.5611485382121917E-6</v>
      </c>
      <c r="AS109">
        <f t="shared" si="86"/>
        <v>7.3442349047176278E-6</v>
      </c>
      <c r="AT109">
        <f t="shared" si="86"/>
        <v>6.0462656540971955E-6</v>
      </c>
      <c r="AU109">
        <f t="shared" si="86"/>
        <v>4.7769866634573882E-6</v>
      </c>
      <c r="AV109">
        <f t="shared" si="86"/>
        <v>3.6219877011228363E-6</v>
      </c>
      <c r="AW109">
        <f t="shared" si="86"/>
        <v>2.635518397730879E-6</v>
      </c>
      <c r="AX109">
        <f t="shared" si="86"/>
        <v>1.8403959618018241E-6</v>
      </c>
      <c r="AY109">
        <f t="shared" si="86"/>
        <v>1.2333394680675883E-6</v>
      </c>
      <c r="AZ109">
        <f t="shared" si="86"/>
        <v>7.9319528863984015E-7</v>
      </c>
      <c r="BA109">
        <f t="shared" si="86"/>
        <v>4.8955755916182092E-7</v>
      </c>
    </row>
    <row r="110" spans="1:53" hidden="1" x14ac:dyDescent="0.25">
      <c r="A110" s="1">
        <v>19</v>
      </c>
      <c r="B110" s="2">
        <f t="shared" si="81"/>
        <v>0.45150145829882105</v>
      </c>
      <c r="C110">
        <f t="shared" si="82"/>
        <v>6.1267562752113025E-18</v>
      </c>
      <c r="D110">
        <f t="shared" si="82"/>
        <v>2.8251793303794789E-17</v>
      </c>
      <c r="E110">
        <f t="shared" si="82"/>
        <v>1.2502232601566032E-16</v>
      </c>
      <c r="F110">
        <f t="shared" si="82"/>
        <v>5.3095200787206912E-16</v>
      </c>
      <c r="G110">
        <f t="shared" si="82"/>
        <v>2.1639593528030925E-15</v>
      </c>
      <c r="H110">
        <f t="shared" si="82"/>
        <v>8.4638716457364795E-15</v>
      </c>
      <c r="I110">
        <f t="shared" si="82"/>
        <v>3.1769850926617068E-14</v>
      </c>
      <c r="J110">
        <f t="shared" si="82"/>
        <v>1.144425230236532E-13</v>
      </c>
      <c r="K110">
        <f t="shared" si="82"/>
        <v>3.9562689634108534E-13</v>
      </c>
      <c r="L110">
        <f t="shared" si="82"/>
        <v>1.3125333066008112E-12</v>
      </c>
      <c r="M110">
        <f t="shared" si="83"/>
        <v>4.1788905345809952E-12</v>
      </c>
      <c r="N110">
        <f t="shared" si="83"/>
        <v>1.2768438696723216E-11</v>
      </c>
      <c r="O110">
        <f t="shared" si="83"/>
        <v>3.7440421978455907E-11</v>
      </c>
      <c r="P110">
        <f t="shared" si="83"/>
        <v>1.0535855667761618E-10</v>
      </c>
      <c r="Q110">
        <f t="shared" si="83"/>
        <v>2.8452801147386775E-10</v>
      </c>
      <c r="R110">
        <f t="shared" si="83"/>
        <v>7.3740551826134684E-10</v>
      </c>
      <c r="S110">
        <f t="shared" si="83"/>
        <v>1.8340614237213653E-9</v>
      </c>
      <c r="T110">
        <f t="shared" si="83"/>
        <v>4.3777152356576111E-9</v>
      </c>
      <c r="U110">
        <f t="shared" si="83"/>
        <v>1.0027837275483912E-8</v>
      </c>
      <c r="V110">
        <f t="shared" si="83"/>
        <v>2.2044141315353318E-8</v>
      </c>
      <c r="W110">
        <f t="shared" si="84"/>
        <v>4.6505598024101949E-8</v>
      </c>
      <c r="X110">
        <f t="shared" si="84"/>
        <v>9.4155006758904748E-8</v>
      </c>
      <c r="Y110">
        <f t="shared" si="84"/>
        <v>1.8293960743979009E-7</v>
      </c>
      <c r="Z110">
        <f t="shared" si="84"/>
        <v>3.4111294841001039E-7</v>
      </c>
      <c r="AA110">
        <f t="shared" si="84"/>
        <v>6.1040039520042352E-7</v>
      </c>
      <c r="AB110">
        <f t="shared" si="84"/>
        <v>1.0482323185117935E-6</v>
      </c>
      <c r="AC110">
        <f t="shared" si="84"/>
        <v>1.727533283047099E-6</v>
      </c>
      <c r="AD110">
        <f t="shared" si="84"/>
        <v>2.7322563228963949E-6</v>
      </c>
      <c r="AE110">
        <f t="shared" si="84"/>
        <v>4.147081730106019E-6</v>
      </c>
      <c r="AF110">
        <f t="shared" si="84"/>
        <v>6.0407364407756633E-6</v>
      </c>
      <c r="AG110">
        <f t="shared" si="85"/>
        <v>8.444293494791217E-6</v>
      </c>
      <c r="AH110">
        <f t="shared" si="85"/>
        <v>1.1328251693995604E-5</v>
      </c>
      <c r="AI110">
        <f t="shared" si="85"/>
        <v>1.4584401054729033E-5</v>
      </c>
      <c r="AJ110">
        <f t="shared" si="85"/>
        <v>1.8019404963140297E-5</v>
      </c>
      <c r="AK110">
        <f t="shared" si="85"/>
        <v>2.1365764210070953E-5</v>
      </c>
      <c r="AL110">
        <f t="shared" si="85"/>
        <v>2.4312104590029353E-5</v>
      </c>
      <c r="AM110">
        <f t="shared" si="85"/>
        <v>2.6549284293337016E-5</v>
      </c>
      <c r="AN110">
        <f t="shared" si="85"/>
        <v>2.7823337197621121E-5</v>
      </c>
      <c r="AO110">
        <f t="shared" si="85"/>
        <v>2.7982838027699282E-5</v>
      </c>
      <c r="AP110">
        <f t="shared" si="85"/>
        <v>2.7008498241688826E-5</v>
      </c>
      <c r="AQ110">
        <f t="shared" si="86"/>
        <v>2.5017001420950408E-5</v>
      </c>
      <c r="AR110">
        <f t="shared" si="86"/>
        <v>2.2238024697369336E-5</v>
      </c>
      <c r="AS110">
        <f t="shared" si="86"/>
        <v>1.8970697618070614E-5</v>
      </c>
      <c r="AT110">
        <f t="shared" si="86"/>
        <v>1.5530896790545689E-5</v>
      </c>
      <c r="AU110">
        <f t="shared" si="86"/>
        <v>1.2202137205669741E-5</v>
      </c>
      <c r="AV110">
        <f t="shared" si="86"/>
        <v>9.2002877993050514E-6</v>
      </c>
      <c r="AW110">
        <f t="shared" si="86"/>
        <v>6.6572223161694384E-6</v>
      </c>
      <c r="AX110">
        <f t="shared" si="86"/>
        <v>4.62286111615317E-6</v>
      </c>
      <c r="AY110">
        <f t="shared" si="86"/>
        <v>3.0807380356328403E-6</v>
      </c>
      <c r="AZ110">
        <f t="shared" si="86"/>
        <v>1.9702658655127651E-6</v>
      </c>
      <c r="BA110">
        <f t="shared" si="86"/>
        <v>1.2092637510111346E-6</v>
      </c>
    </row>
    <row r="111" spans="1:53" hidden="1" x14ac:dyDescent="0.25">
      <c r="A111" s="1">
        <v>20</v>
      </c>
      <c r="B111" s="2">
        <f t="shared" si="81"/>
        <v>0.64268812622421878</v>
      </c>
      <c r="C111">
        <f t="shared" si="82"/>
        <v>1.9008986219030443E-17</v>
      </c>
      <c r="D111">
        <f t="shared" si="82"/>
        <v>8.7165964129955638E-17</v>
      </c>
      <c r="E111">
        <f t="shared" si="82"/>
        <v>3.8358450818929664E-16</v>
      </c>
      <c r="F111">
        <f t="shared" si="82"/>
        <v>1.6199489113567816E-15</v>
      </c>
      <c r="G111">
        <f t="shared" si="82"/>
        <v>6.5654986461518601E-15</v>
      </c>
      <c r="H111">
        <f t="shared" si="82"/>
        <v>2.5536434098022325E-14</v>
      </c>
      <c r="I111">
        <f t="shared" si="82"/>
        <v>9.5318879206587788E-14</v>
      </c>
      <c r="J111">
        <f t="shared" si="82"/>
        <v>3.41447345169894E-13</v>
      </c>
      <c r="K111">
        <f t="shared" si="82"/>
        <v>1.173801586108661E-12</v>
      </c>
      <c r="L111">
        <f t="shared" si="82"/>
        <v>3.8725031722188977E-12</v>
      </c>
      <c r="M111">
        <f t="shared" si="83"/>
        <v>1.2260692794675767E-11</v>
      </c>
      <c r="N111">
        <f t="shared" si="83"/>
        <v>3.7253268104528817E-11</v>
      </c>
      <c r="O111">
        <f t="shared" si="83"/>
        <v>1.0862752474816192E-10</v>
      </c>
      <c r="P111">
        <f t="shared" si="83"/>
        <v>3.0397756209611394E-10</v>
      </c>
      <c r="Q111">
        <f t="shared" si="83"/>
        <v>8.1633667874549302E-10</v>
      </c>
      <c r="R111">
        <f t="shared" si="83"/>
        <v>2.1038909777514531E-9</v>
      </c>
      <c r="S111">
        <f t="shared" si="83"/>
        <v>5.2035926396029301E-9</v>
      </c>
      <c r="T111">
        <f t="shared" si="83"/>
        <v>1.235120951298055E-8</v>
      </c>
      <c r="U111">
        <f t="shared" si="83"/>
        <v>2.8134669974413237E-8</v>
      </c>
      <c r="V111">
        <f t="shared" si="83"/>
        <v>6.1503566428468976E-8</v>
      </c>
      <c r="W111">
        <f t="shared" si="84"/>
        <v>1.2902828163764664E-7</v>
      </c>
      <c r="X111">
        <f t="shared" si="84"/>
        <v>2.5977399025472385E-7</v>
      </c>
      <c r="Y111">
        <f t="shared" si="84"/>
        <v>5.0191775144829021E-7</v>
      </c>
      <c r="Z111">
        <f t="shared" si="84"/>
        <v>9.3066972113795562E-7</v>
      </c>
      <c r="AA111">
        <f t="shared" si="84"/>
        <v>1.6560931160081513E-6</v>
      </c>
      <c r="AB111">
        <f t="shared" si="84"/>
        <v>2.828134486836185E-6</v>
      </c>
      <c r="AC111">
        <f t="shared" si="84"/>
        <v>4.6349120969106978E-6</v>
      </c>
      <c r="AD111">
        <f t="shared" si="84"/>
        <v>7.2896904152903243E-6</v>
      </c>
      <c r="AE111">
        <f t="shared" si="84"/>
        <v>1.1002789541085188E-5</v>
      </c>
      <c r="AF111">
        <f t="shared" si="84"/>
        <v>1.5937590564918437E-5</v>
      </c>
      <c r="AG111">
        <f t="shared" si="85"/>
        <v>2.2154842340533725E-5</v>
      </c>
      <c r="AH111">
        <f t="shared" si="85"/>
        <v>2.9555669430276333E-5</v>
      </c>
      <c r="AI111">
        <f t="shared" si="85"/>
        <v>3.7838949915937019E-5</v>
      </c>
      <c r="AJ111">
        <f t="shared" si="85"/>
        <v>4.6490422093126005E-5</v>
      </c>
      <c r="AK111">
        <f t="shared" si="85"/>
        <v>5.4816845673143456E-5</v>
      </c>
      <c r="AL111">
        <f t="shared" si="85"/>
        <v>6.2028421856022821E-5</v>
      </c>
      <c r="AM111">
        <f t="shared" si="85"/>
        <v>6.7358678917073047E-5</v>
      </c>
      <c r="AN111">
        <f t="shared" si="85"/>
        <v>7.0197642707053924E-5</v>
      </c>
      <c r="AO111">
        <f t="shared" si="85"/>
        <v>7.0206550386614294E-5</v>
      </c>
      <c r="AP111">
        <f t="shared" si="85"/>
        <v>6.7384324464926163E-5</v>
      </c>
      <c r="AQ111">
        <f t="shared" si="86"/>
        <v>6.206778710588271E-5</v>
      </c>
      <c r="AR111">
        <f t="shared" si="86"/>
        <v>5.4865555823535049E-5</v>
      </c>
      <c r="AS111">
        <f t="shared" si="86"/>
        <v>4.6543543369694167E-5</v>
      </c>
      <c r="AT111">
        <f t="shared" si="86"/>
        <v>3.7891800450313921E-5</v>
      </c>
      <c r="AU111">
        <f t="shared" si="86"/>
        <v>2.9604462359906875E-5</v>
      </c>
      <c r="AV111">
        <f t="shared" si="86"/>
        <v>2.2197049661527641E-5</v>
      </c>
      <c r="AW111">
        <f t="shared" si="86"/>
        <v>1.597200610394818E-5</v>
      </c>
      <c r="AX111">
        <f t="shared" si="86"/>
        <v>1.1029347489491749E-5</v>
      </c>
      <c r="AY111">
        <f t="shared" si="86"/>
        <v>7.3091405057150575E-6</v>
      </c>
      <c r="AZ111">
        <f t="shared" si="86"/>
        <v>4.6484583041323684E-6</v>
      </c>
      <c r="BA111">
        <f t="shared" si="86"/>
        <v>2.8371200143271642E-6</v>
      </c>
    </row>
    <row r="112" spans="1:53" hidden="1" x14ac:dyDescent="0.25">
      <c r="A112" s="1">
        <v>21</v>
      </c>
      <c r="B112" s="2">
        <f t="shared" si="81"/>
        <v>0.83387479414961607</v>
      </c>
      <c r="C112">
        <f t="shared" ref="C112:L121" si="87">SQRT($I$14*$J$14-$K$14^2)/PI()*EXP(-($I$14*((C$91-$C$14)^2)+2*$K$14*(C$91-$C$14)*($B112-$C$15)+$J$14*(($B112-$C$15)^2)))</f>
        <v>5.6017884842703201E-17</v>
      </c>
      <c r="D112">
        <f t="shared" si="87"/>
        <v>2.5543902933648849E-16</v>
      </c>
      <c r="E112">
        <f t="shared" si="87"/>
        <v>1.1178253195675091E-15</v>
      </c>
      <c r="F112">
        <f t="shared" si="87"/>
        <v>4.6944721637138778E-15</v>
      </c>
      <c r="G112">
        <f t="shared" si="87"/>
        <v>1.8920200415383001E-14</v>
      </c>
      <c r="H112">
        <f t="shared" si="87"/>
        <v>7.3179735444438769E-14</v>
      </c>
      <c r="I112">
        <f t="shared" si="87"/>
        <v>2.7163271612787717E-13</v>
      </c>
      <c r="J112">
        <f t="shared" si="87"/>
        <v>9.6760801236682414E-13</v>
      </c>
      <c r="K112">
        <f t="shared" si="87"/>
        <v>3.3078284185803772E-12</v>
      </c>
      <c r="L112">
        <f t="shared" si="87"/>
        <v>1.0852071103657163E-11</v>
      </c>
      <c r="M112">
        <f t="shared" ref="M112:V121" si="88">SQRT($I$14*$J$14-$K$14^2)/PI()*EXP(-($I$14*((M$91-$C$14)^2)+2*$K$14*(M$91-$C$14)*($B112-$C$15)+$J$14*(($B112-$C$15)^2)))</f>
        <v>3.4167124147823855E-11</v>
      </c>
      <c r="N112">
        <f t="shared" si="88"/>
        <v>1.0323580752710207E-10</v>
      </c>
      <c r="O112">
        <f t="shared" si="88"/>
        <v>2.9934942706690295E-10</v>
      </c>
      <c r="P112">
        <f t="shared" si="88"/>
        <v>8.3301465476323832E-10</v>
      </c>
      <c r="Q112">
        <f t="shared" si="88"/>
        <v>2.2246054187508577E-9</v>
      </c>
      <c r="R112">
        <f t="shared" si="88"/>
        <v>5.7013733084478483E-9</v>
      </c>
      <c r="S112">
        <f t="shared" si="88"/>
        <v>1.4022714892996155E-8</v>
      </c>
      <c r="T112">
        <f t="shared" si="88"/>
        <v>3.3098694816536604E-8</v>
      </c>
      <c r="U112">
        <f t="shared" si="88"/>
        <v>7.4974878636235049E-8</v>
      </c>
      <c r="V112">
        <f t="shared" si="88"/>
        <v>1.6298469075418417E-7</v>
      </c>
      <c r="W112">
        <f t="shared" ref="W112:AF121" si="89">SQRT($I$14*$J$14-$K$14^2)/PI()*EXP(-($I$14*((W$91-$C$14)^2)+2*$K$14*(W$91-$C$14)*($B112-$C$15)+$J$14*(($B112-$C$15)^2)))</f>
        <v>3.4001963171316355E-7</v>
      </c>
      <c r="X112">
        <f t="shared" si="89"/>
        <v>6.8074946851014993E-7</v>
      </c>
      <c r="Y112">
        <f t="shared" si="89"/>
        <v>1.3079669423301052E-6</v>
      </c>
      <c r="Z112">
        <f t="shared" si="89"/>
        <v>2.4117504209447251E-6</v>
      </c>
      <c r="AA112">
        <f t="shared" si="89"/>
        <v>4.2677021014792357E-6</v>
      </c>
      <c r="AB112">
        <f t="shared" si="89"/>
        <v>7.2473956163137161E-6</v>
      </c>
      <c r="AC112">
        <f t="shared" si="89"/>
        <v>1.1811253199964194E-5</v>
      </c>
      <c r="AD112">
        <f t="shared" si="89"/>
        <v>1.8472944644102225E-5</v>
      </c>
      <c r="AE112">
        <f t="shared" si="89"/>
        <v>2.772697025291125E-5</v>
      </c>
      <c r="AF112">
        <f t="shared" si="89"/>
        <v>3.9938784428731731E-5</v>
      </c>
      <c r="AG112">
        <f t="shared" ref="AG112:AP121" si="90">SQRT($I$14*$J$14-$K$14^2)/PI()*EXP(-($I$14*((AG$91-$C$14)^2)+2*$K$14*(AG$91-$C$14)*($B112-$C$15)+$J$14*(($B112-$C$15)^2)))</f>
        <v>5.5209448286398914E-5</v>
      </c>
      <c r="AH112">
        <f t="shared" si="90"/>
        <v>7.3241648430850178E-5</v>
      </c>
      <c r="AI112">
        <f t="shared" si="90"/>
        <v>9.3245729689378154E-5</v>
      </c>
      <c r="AJ112">
        <f t="shared" si="90"/>
        <v>1.1392680862728775E-4</v>
      </c>
      <c r="AK112">
        <f t="shared" si="90"/>
        <v>1.3358234108817299E-4</v>
      </c>
      <c r="AL112">
        <f t="shared" si="90"/>
        <v>1.5031361077546832E-4</v>
      </c>
      <c r="AM112">
        <f t="shared" si="90"/>
        <v>1.6232062373143025E-4</v>
      </c>
      <c r="AN112">
        <f t="shared" si="90"/>
        <v>1.6821907353902434E-4</v>
      </c>
      <c r="AO112">
        <f t="shared" si="90"/>
        <v>1.6730268434343899E-4</v>
      </c>
      <c r="AP112">
        <f t="shared" si="90"/>
        <v>1.5968227819684378E-4</v>
      </c>
      <c r="AQ112">
        <f t="shared" ref="AQ112:BA121" si="91">SQRT($I$14*$J$14-$K$14^2)/PI()*EXP(-($I$14*((AQ$91-$C$14)^2)+2*$K$14*(AQ$91-$C$14)*($B112-$C$15)+$J$14*(($B112-$C$15)^2)))</f>
        <v>1.4626373838876676E-4</v>
      </c>
      <c r="AR112">
        <f t="shared" si="91"/>
        <v>1.2857092170644294E-4</v>
      </c>
      <c r="AS112">
        <f t="shared" si="91"/>
        <v>1.0846134448327473E-4</v>
      </c>
      <c r="AT112">
        <f t="shared" si="91"/>
        <v>8.780785100528933E-5</v>
      </c>
      <c r="AU112">
        <f t="shared" si="91"/>
        <v>6.8220963964324278E-5</v>
      </c>
      <c r="AV112">
        <f t="shared" si="91"/>
        <v>5.0866106176266147E-5</v>
      </c>
      <c r="AW112">
        <f t="shared" si="91"/>
        <v>3.6396973602349513E-5</v>
      </c>
      <c r="AX112">
        <f t="shared" si="91"/>
        <v>2.4993564166406743E-5</v>
      </c>
      <c r="AY112">
        <f t="shared" si="91"/>
        <v>1.6470896932605343E-5</v>
      </c>
      <c r="AZ112">
        <f t="shared" si="91"/>
        <v>1.0416754891553193E-5</v>
      </c>
      <c r="BA112">
        <f t="shared" si="91"/>
        <v>6.3222807787064695E-6</v>
      </c>
    </row>
    <row r="113" spans="1:53" hidden="1" x14ac:dyDescent="0.25">
      <c r="A113" s="1">
        <v>22</v>
      </c>
      <c r="B113" s="2">
        <f t="shared" si="81"/>
        <v>1.0250614620750138</v>
      </c>
      <c r="C113">
        <f t="shared" si="87"/>
        <v>1.5679559449578176E-16</v>
      </c>
      <c r="D113">
        <f t="shared" si="87"/>
        <v>7.1099569527989377E-16</v>
      </c>
      <c r="E113">
        <f t="shared" si="87"/>
        <v>3.0940421443660738E-15</v>
      </c>
      <c r="F113">
        <f t="shared" si="87"/>
        <v>1.2921460881881682E-14</v>
      </c>
      <c r="G113">
        <f t="shared" si="87"/>
        <v>5.178728553549484E-14</v>
      </c>
      <c r="H113">
        <f t="shared" si="87"/>
        <v>1.9918692030893447E-13</v>
      </c>
      <c r="I113">
        <f t="shared" si="87"/>
        <v>7.3523237855069615E-13</v>
      </c>
      <c r="J113">
        <f t="shared" si="87"/>
        <v>2.6044412819425027E-12</v>
      </c>
      <c r="K113">
        <f t="shared" si="87"/>
        <v>8.8538193203697474E-12</v>
      </c>
      <c r="L113">
        <f t="shared" si="87"/>
        <v>2.8885033670206792E-11</v>
      </c>
      <c r="M113">
        <f t="shared" si="88"/>
        <v>9.0435978018052898E-11</v>
      </c>
      <c r="N113">
        <f t="shared" si="88"/>
        <v>2.7172884299352456E-10</v>
      </c>
      <c r="O113">
        <f t="shared" si="88"/>
        <v>7.8353135046793473E-10</v>
      </c>
      <c r="P113">
        <f t="shared" si="88"/>
        <v>2.1682190457391243E-9</v>
      </c>
      <c r="Q113">
        <f t="shared" si="88"/>
        <v>5.7580584670315543E-9</v>
      </c>
      <c r="R113">
        <f t="shared" si="88"/>
        <v>1.4674899113209383E-8</v>
      </c>
      <c r="S113">
        <f t="shared" si="88"/>
        <v>3.5892219630259913E-8</v>
      </c>
      <c r="T113">
        <f t="shared" si="88"/>
        <v>8.4246457357623811E-8</v>
      </c>
      <c r="U113">
        <f t="shared" si="88"/>
        <v>1.8977068129115092E-7</v>
      </c>
      <c r="V113">
        <f t="shared" si="88"/>
        <v>4.1023501345052625E-7</v>
      </c>
      <c r="W113">
        <f t="shared" si="89"/>
        <v>8.5106449098191663E-7</v>
      </c>
      <c r="X113">
        <f t="shared" si="89"/>
        <v>1.6944094134619345E-6</v>
      </c>
      <c r="Y113">
        <f t="shared" si="89"/>
        <v>3.2374299397400772E-6</v>
      </c>
      <c r="Z113">
        <f t="shared" si="89"/>
        <v>5.9362002167587035E-6</v>
      </c>
      <c r="AA113">
        <f t="shared" si="89"/>
        <v>1.0445827280999943E-5</v>
      </c>
      <c r="AB113">
        <f t="shared" si="89"/>
        <v>1.7640190841449045E-5</v>
      </c>
      <c r="AC113">
        <f t="shared" si="89"/>
        <v>2.8588400421272831E-5</v>
      </c>
      <c r="AD113">
        <f t="shared" si="89"/>
        <v>4.4463390067762031E-5</v>
      </c>
      <c r="AE113">
        <f t="shared" si="89"/>
        <v>6.6365355642778891E-5</v>
      </c>
      <c r="AF113">
        <f t="shared" si="89"/>
        <v>9.5061884313086344E-5</v>
      </c>
      <c r="AG113">
        <f t="shared" si="90"/>
        <v>1.3067651675847093E-4</v>
      </c>
      <c r="AH113">
        <f t="shared" si="90"/>
        <v>1.7239109139147461E-4</v>
      </c>
      <c r="AI113">
        <f t="shared" si="90"/>
        <v>2.1825199747846485E-4</v>
      </c>
      <c r="AJ113">
        <f t="shared" si="90"/>
        <v>2.651720667920337E-4</v>
      </c>
      <c r="AK113">
        <f t="shared" si="90"/>
        <v>3.0918858983784622E-4</v>
      </c>
      <c r="AL113">
        <f t="shared" si="90"/>
        <v>3.4597544925459321E-4</v>
      </c>
      <c r="AM113">
        <f t="shared" si="90"/>
        <v>3.7152944929433242E-4</v>
      </c>
      <c r="AN113">
        <f t="shared" si="90"/>
        <v>3.8288411092028706E-4</v>
      </c>
      <c r="AO113">
        <f t="shared" si="90"/>
        <v>3.7867582741916105E-4</v>
      </c>
      <c r="AP113">
        <f t="shared" si="90"/>
        <v>3.5941314799446829E-4</v>
      </c>
      <c r="AQ113">
        <f t="shared" si="91"/>
        <v>3.2737572721330431E-4</v>
      </c>
      <c r="AR113">
        <f t="shared" si="91"/>
        <v>2.8617067666735819E-4</v>
      </c>
      <c r="AS113">
        <f t="shared" si="91"/>
        <v>2.4006559476104854E-4</v>
      </c>
      <c r="AT113">
        <f t="shared" si="91"/>
        <v>1.9326840137866245E-4</v>
      </c>
      <c r="AU113">
        <f t="shared" si="91"/>
        <v>1.4931998034905657E-4</v>
      </c>
      <c r="AV113">
        <f t="shared" si="91"/>
        <v>1.1071364069124753E-4</v>
      </c>
      <c r="AW113">
        <f t="shared" si="91"/>
        <v>7.8779002765652818E-5</v>
      </c>
      <c r="AX113">
        <f t="shared" si="91"/>
        <v>5.3795501940510547E-5</v>
      </c>
      <c r="AY113">
        <f t="shared" si="91"/>
        <v>3.5253934045123178E-5</v>
      </c>
      <c r="AZ113">
        <f t="shared" si="91"/>
        <v>2.2171513973395763E-5</v>
      </c>
      <c r="BA113">
        <f t="shared" si="91"/>
        <v>1.3381637172756671E-5</v>
      </c>
    </row>
    <row r="114" spans="1:53" hidden="1" x14ac:dyDescent="0.25">
      <c r="A114" s="1">
        <v>23</v>
      </c>
      <c r="B114" s="2">
        <f t="shared" si="81"/>
        <v>1.2162481300004115</v>
      </c>
      <c r="C114">
        <f t="shared" si="87"/>
        <v>4.1685057490485662E-16</v>
      </c>
      <c r="D114">
        <f t="shared" si="87"/>
        <v>1.8796893744024727E-15</v>
      </c>
      <c r="E114">
        <f t="shared" si="87"/>
        <v>8.1342573149957357E-15</v>
      </c>
      <c r="F114">
        <f t="shared" si="87"/>
        <v>3.3781261628062328E-14</v>
      </c>
      <c r="G114">
        <f t="shared" si="87"/>
        <v>1.3463561614584153E-13</v>
      </c>
      <c r="H114">
        <f t="shared" si="87"/>
        <v>5.1495608897955694E-13</v>
      </c>
      <c r="I114">
        <f t="shared" si="87"/>
        <v>1.8901948333928956E-12</v>
      </c>
      <c r="J114">
        <f t="shared" si="87"/>
        <v>6.6583877748081048E-12</v>
      </c>
      <c r="K114">
        <f t="shared" si="87"/>
        <v>2.250907950745926E-11</v>
      </c>
      <c r="L114">
        <f t="shared" si="87"/>
        <v>7.3025161253289977E-11</v>
      </c>
      <c r="M114">
        <f t="shared" si="88"/>
        <v>2.2735968169723989E-10</v>
      </c>
      <c r="N114">
        <f t="shared" si="88"/>
        <v>6.7932956985728272E-10</v>
      </c>
      <c r="O114">
        <f t="shared" si="88"/>
        <v>1.947931693866333E-9</v>
      </c>
      <c r="P114">
        <f t="shared" si="88"/>
        <v>5.3603490082925833E-9</v>
      </c>
      <c r="Q114">
        <f t="shared" si="88"/>
        <v>1.4155934648471518E-8</v>
      </c>
      <c r="R114">
        <f t="shared" si="88"/>
        <v>3.5876508369786487E-8</v>
      </c>
      <c r="S114">
        <f t="shared" si="88"/>
        <v>8.7258537181484011E-8</v>
      </c>
      <c r="T114">
        <f t="shared" si="88"/>
        <v>2.0367223322726169E-7</v>
      </c>
      <c r="U114">
        <f t="shared" si="88"/>
        <v>4.5622792171162942E-7</v>
      </c>
      <c r="V114">
        <f t="shared" si="88"/>
        <v>9.8074936435121852E-7</v>
      </c>
      <c r="W114">
        <f t="shared" si="89"/>
        <v>2.0233003097442403E-6</v>
      </c>
      <c r="X114">
        <f t="shared" si="89"/>
        <v>4.005795729091288E-6</v>
      </c>
      <c r="Y114">
        <f t="shared" si="89"/>
        <v>7.6110292120755402E-6</v>
      </c>
      <c r="Z114">
        <f t="shared" si="89"/>
        <v>1.3877911605126092E-5</v>
      </c>
      <c r="AA114">
        <f t="shared" si="89"/>
        <v>2.4284601626118295E-5</v>
      </c>
      <c r="AB114">
        <f t="shared" si="89"/>
        <v>4.078157445744542E-5</v>
      </c>
      <c r="AC114">
        <f t="shared" si="89"/>
        <v>6.5723870635730767E-5</v>
      </c>
      <c r="AD114">
        <f t="shared" si="89"/>
        <v>1.0165024136226079E-4</v>
      </c>
      <c r="AE114">
        <f t="shared" si="89"/>
        <v>1.5087588642703734E-4</v>
      </c>
      <c r="AF114">
        <f t="shared" si="89"/>
        <v>2.1491038078489874E-4</v>
      </c>
      <c r="AG114">
        <f t="shared" si="90"/>
        <v>2.9377923197095154E-4</v>
      </c>
      <c r="AH114">
        <f t="shared" si="90"/>
        <v>3.8539930491312516E-4</v>
      </c>
      <c r="AI114">
        <f t="shared" si="90"/>
        <v>4.8520682540312759E-4</v>
      </c>
      <c r="AJ114">
        <f t="shared" si="90"/>
        <v>5.8623131594857881E-4</v>
      </c>
      <c r="AK114">
        <f t="shared" si="90"/>
        <v>6.7973129545978298E-4</v>
      </c>
      <c r="AL114">
        <f t="shared" si="90"/>
        <v>7.5636540305280278E-4</v>
      </c>
      <c r="AM114">
        <f t="shared" si="90"/>
        <v>8.0770390739974378E-4</v>
      </c>
      <c r="AN114">
        <f t="shared" si="90"/>
        <v>8.2774935430608579E-4</v>
      </c>
      <c r="AO114">
        <f t="shared" si="90"/>
        <v>8.1408856762068844E-4</v>
      </c>
      <c r="AP114">
        <f t="shared" si="90"/>
        <v>7.6837035314013691E-4</v>
      </c>
      <c r="AQ114">
        <f t="shared" si="91"/>
        <v>6.959782727359137E-4</v>
      </c>
      <c r="AR114">
        <f t="shared" si="91"/>
        <v>6.0498819797811664E-4</v>
      </c>
      <c r="AS114">
        <f t="shared" si="91"/>
        <v>5.0468949113240602E-4</v>
      </c>
      <c r="AT114">
        <f t="shared" si="91"/>
        <v>4.0404316033927759E-4</v>
      </c>
      <c r="AU114">
        <f t="shared" si="91"/>
        <v>3.1042550445155201E-4</v>
      </c>
      <c r="AV114">
        <f t="shared" si="91"/>
        <v>2.2888280655654857E-4</v>
      </c>
      <c r="AW114">
        <f t="shared" si="91"/>
        <v>1.6195526954087056E-4</v>
      </c>
      <c r="AX114">
        <f t="shared" si="91"/>
        <v>1.0997732062795391E-4</v>
      </c>
      <c r="AY114">
        <f t="shared" si="91"/>
        <v>7.1669986854787336E-5</v>
      </c>
      <c r="AZ114">
        <f t="shared" si="91"/>
        <v>4.4822662803435683E-5</v>
      </c>
      <c r="BA114">
        <f t="shared" si="91"/>
        <v>2.6901972246477529E-5</v>
      </c>
    </row>
    <row r="115" spans="1:53" hidden="1" x14ac:dyDescent="0.25">
      <c r="A115" s="1">
        <v>24</v>
      </c>
      <c r="B115" s="2">
        <f t="shared" si="81"/>
        <v>1.4074347979258093</v>
      </c>
      <c r="C115">
        <f t="shared" si="87"/>
        <v>1.0526072392799272E-15</v>
      </c>
      <c r="D115">
        <f t="shared" si="87"/>
        <v>4.7200282787706216E-15</v>
      </c>
      <c r="E115">
        <f t="shared" si="87"/>
        <v>2.0311826917157939E-14</v>
      </c>
      <c r="F115">
        <f t="shared" si="87"/>
        <v>8.3884073507449971E-14</v>
      </c>
      <c r="G115">
        <f t="shared" si="87"/>
        <v>3.324575312857099E-13</v>
      </c>
      <c r="H115">
        <f t="shared" si="87"/>
        <v>1.2645004190406091E-12</v>
      </c>
      <c r="I115">
        <f t="shared" si="87"/>
        <v>4.6155973787851049E-12</v>
      </c>
      <c r="J115">
        <f t="shared" si="87"/>
        <v>1.6168249298806541E-11</v>
      </c>
      <c r="K115">
        <f t="shared" si="87"/>
        <v>5.4353086918247798E-11</v>
      </c>
      <c r="L115">
        <f t="shared" si="87"/>
        <v>1.7535234181783254E-10</v>
      </c>
      <c r="M115">
        <f t="shared" si="88"/>
        <v>5.4290652907322911E-10</v>
      </c>
      <c r="N115">
        <f t="shared" si="88"/>
        <v>1.6131126517138225E-9</v>
      </c>
      <c r="O115">
        <f t="shared" si="88"/>
        <v>4.5997101834274216E-9</v>
      </c>
      <c r="P115">
        <f t="shared" si="88"/>
        <v>1.2587004239694227E-8</v>
      </c>
      <c r="Q115">
        <f t="shared" si="88"/>
        <v>3.3055248524621767E-8</v>
      </c>
      <c r="R115">
        <f t="shared" si="88"/>
        <v>8.3307598151160366E-8</v>
      </c>
      <c r="S115">
        <f t="shared" si="88"/>
        <v>2.01490668925376E-7</v>
      </c>
      <c r="T115">
        <f t="shared" si="88"/>
        <v>4.6768280455915363E-7</v>
      </c>
      <c r="U115">
        <f t="shared" si="88"/>
        <v>1.0417751757907632E-6</v>
      </c>
      <c r="V115">
        <f t="shared" si="88"/>
        <v>2.2270129639042561E-6</v>
      </c>
      <c r="W115">
        <f t="shared" si="89"/>
        <v>4.5687524192952711E-6</v>
      </c>
      <c r="X115">
        <f t="shared" si="89"/>
        <v>8.9949476860765409E-6</v>
      </c>
      <c r="Y115">
        <f t="shared" si="89"/>
        <v>1.6995181145568349E-5</v>
      </c>
      <c r="Z115">
        <f t="shared" si="89"/>
        <v>3.081620059696473E-5</v>
      </c>
      <c r="AA115">
        <f t="shared" si="89"/>
        <v>5.3623915928433214E-5</v>
      </c>
      <c r="AB115">
        <f t="shared" si="89"/>
        <v>8.9549692110435172E-5</v>
      </c>
      <c r="AC115">
        <f t="shared" si="89"/>
        <v>1.4351450816358299E-4</v>
      </c>
      <c r="AD115">
        <f t="shared" si="89"/>
        <v>2.2072608251499367E-4</v>
      </c>
      <c r="AE115">
        <f t="shared" si="89"/>
        <v>3.2578991949087574E-4</v>
      </c>
      <c r="AF115">
        <f t="shared" si="89"/>
        <v>4.6147456357004948E-4</v>
      </c>
      <c r="AG115">
        <f t="shared" si="90"/>
        <v>6.2731263020492263E-4</v>
      </c>
      <c r="AH115">
        <f t="shared" si="90"/>
        <v>8.1836384467763536E-4</v>
      </c>
      <c r="AI115">
        <f t="shared" si="90"/>
        <v>1.0245542869240368E-3</v>
      </c>
      <c r="AJ115">
        <f t="shared" si="90"/>
        <v>1.2309761940019856E-3</v>
      </c>
      <c r="AK115">
        <f t="shared" si="90"/>
        <v>1.4193531695649907E-3</v>
      </c>
      <c r="AL115">
        <f t="shared" si="90"/>
        <v>1.5705704723123349E-3</v>
      </c>
      <c r="AM115">
        <f t="shared" si="90"/>
        <v>1.6678251670115033E-3</v>
      </c>
      <c r="AN115">
        <f t="shared" si="90"/>
        <v>1.6996901442906005E-3</v>
      </c>
      <c r="AO115">
        <f t="shared" si="90"/>
        <v>1.6623219052855898E-3</v>
      </c>
      <c r="AP115">
        <f t="shared" si="90"/>
        <v>1.5602228644051193E-3</v>
      </c>
      <c r="AQ115">
        <f t="shared" si="91"/>
        <v>1.4053493161022758E-3</v>
      </c>
      <c r="AR115">
        <f t="shared" si="91"/>
        <v>1.2148092042652292E-3</v>
      </c>
      <c r="AS115">
        <f t="shared" si="91"/>
        <v>1.0077620490458292E-3</v>
      </c>
      <c r="AT115">
        <f t="shared" si="91"/>
        <v>8.0229495904035348E-4</v>
      </c>
      <c r="AU115">
        <f t="shared" si="91"/>
        <v>6.1296583102348802E-4</v>
      </c>
      <c r="AV115">
        <f t="shared" si="91"/>
        <v>4.4943263712924865E-4</v>
      </c>
      <c r="AW115">
        <f t="shared" si="91"/>
        <v>3.1624166403151167E-4</v>
      </c>
      <c r="AX115">
        <f t="shared" si="91"/>
        <v>2.1355006332102574E-4</v>
      </c>
      <c r="AY115">
        <f t="shared" si="91"/>
        <v>1.383905581792976E-4</v>
      </c>
      <c r="AZ115">
        <f t="shared" si="91"/>
        <v>8.6067533239384249E-5</v>
      </c>
      <c r="BA115">
        <f t="shared" si="91"/>
        <v>5.1368678032942868E-5</v>
      </c>
    </row>
    <row r="116" spans="1:53" hidden="1" x14ac:dyDescent="0.25">
      <c r="A116" s="1">
        <v>25</v>
      </c>
      <c r="B116" s="2">
        <f t="shared" si="81"/>
        <v>1.598621465851207</v>
      </c>
      <c r="C116">
        <f t="shared" si="87"/>
        <v>2.5245948929117962E-15</v>
      </c>
      <c r="D116">
        <f t="shared" si="87"/>
        <v>1.1257514468795989E-14</v>
      </c>
      <c r="E116">
        <f t="shared" si="87"/>
        <v>4.8174749688117443E-14</v>
      </c>
      <c r="F116">
        <f t="shared" si="87"/>
        <v>1.9784385159384026E-13</v>
      </c>
      <c r="G116">
        <f t="shared" si="87"/>
        <v>7.797435448773886E-13</v>
      </c>
      <c r="H116">
        <f t="shared" si="87"/>
        <v>2.9492199058134671E-12</v>
      </c>
      <c r="I116">
        <f t="shared" si="87"/>
        <v>1.0705049095267914E-11</v>
      </c>
      <c r="J116">
        <f t="shared" si="87"/>
        <v>3.7290337047137904E-11</v>
      </c>
      <c r="K116">
        <f t="shared" si="87"/>
        <v>1.2466085251142622E-10</v>
      </c>
      <c r="L116">
        <f t="shared" si="87"/>
        <v>3.9993555447394618E-10</v>
      </c>
      <c r="M116">
        <f t="shared" si="88"/>
        <v>1.2313345786875647E-9</v>
      </c>
      <c r="N116">
        <f t="shared" si="88"/>
        <v>3.6382142862061012E-9</v>
      </c>
      <c r="O116">
        <f t="shared" si="88"/>
        <v>1.0316362938858731E-8</v>
      </c>
      <c r="P116">
        <f t="shared" si="88"/>
        <v>2.8073146290768325E-8</v>
      </c>
      <c r="Q116">
        <f t="shared" si="88"/>
        <v>7.3313120208842883E-8</v>
      </c>
      <c r="R116">
        <f t="shared" si="88"/>
        <v>1.8373777657685896E-7</v>
      </c>
      <c r="S116">
        <f t="shared" si="88"/>
        <v>4.4191765085041481E-7</v>
      </c>
      <c r="T116">
        <f t="shared" si="88"/>
        <v>1.0200239719416162E-6</v>
      </c>
      <c r="U116">
        <f t="shared" si="88"/>
        <v>2.2594646287884074E-6</v>
      </c>
      <c r="V116">
        <f t="shared" si="88"/>
        <v>4.8031577902926876E-6</v>
      </c>
      <c r="W116">
        <f t="shared" si="89"/>
        <v>9.7988317243889139E-6</v>
      </c>
      <c r="X116">
        <f t="shared" si="89"/>
        <v>1.9184385095334616E-5</v>
      </c>
      <c r="Y116">
        <f t="shared" si="89"/>
        <v>3.6045213819334171E-5</v>
      </c>
      <c r="Z116">
        <f t="shared" si="89"/>
        <v>6.4994030079139545E-5</v>
      </c>
      <c r="AA116">
        <f t="shared" si="89"/>
        <v>1.124670921391114E-4</v>
      </c>
      <c r="AB116">
        <f t="shared" si="89"/>
        <v>1.8676848864550093E-4</v>
      </c>
      <c r="AC116">
        <f t="shared" si="89"/>
        <v>2.9765136658231562E-4</v>
      </c>
      <c r="AD116">
        <f t="shared" si="89"/>
        <v>4.5523777885027035E-4</v>
      </c>
      <c r="AE116">
        <f t="shared" si="89"/>
        <v>6.681821184098799E-4</v>
      </c>
      <c r="AF116">
        <f t="shared" si="89"/>
        <v>9.4119051292111601E-4</v>
      </c>
      <c r="AG116">
        <f t="shared" si="90"/>
        <v>1.2722907543443263E-3</v>
      </c>
      <c r="AH116">
        <f t="shared" si="90"/>
        <v>1.6505220855766356E-3</v>
      </c>
      <c r="AI116">
        <f t="shared" si="90"/>
        <v>2.054860988938167E-3</v>
      </c>
      <c r="AJ116">
        <f t="shared" si="90"/>
        <v>2.4551028642983801E-3</v>
      </c>
      <c r="AK116">
        <f t="shared" si="90"/>
        <v>2.8150303219610698E-3</v>
      </c>
      <c r="AL116">
        <f t="shared" si="90"/>
        <v>3.0975804874012304E-3</v>
      </c>
      <c r="AM116">
        <f t="shared" si="90"/>
        <v>3.2710581225184276E-3</v>
      </c>
      <c r="AN116">
        <f t="shared" si="90"/>
        <v>3.3149734977327202E-3</v>
      </c>
      <c r="AO116">
        <f t="shared" si="90"/>
        <v>3.2240220159103451E-3</v>
      </c>
      <c r="AP116">
        <f t="shared" si="90"/>
        <v>3.009137794453861E-3</v>
      </c>
      <c r="AQ116">
        <f t="shared" si="91"/>
        <v>2.695332143014068E-3</v>
      </c>
      <c r="AR116">
        <f t="shared" si="91"/>
        <v>2.3169072259481768E-3</v>
      </c>
      <c r="AS116">
        <f t="shared" si="91"/>
        <v>1.9113100176820481E-3</v>
      </c>
      <c r="AT116">
        <f t="shared" si="91"/>
        <v>1.5131422804543087E-3</v>
      </c>
      <c r="AU116">
        <f t="shared" si="91"/>
        <v>1.1496205953506783E-3</v>
      </c>
      <c r="AV116">
        <f t="shared" si="91"/>
        <v>8.382150282912578E-4</v>
      </c>
      <c r="AW116">
        <f t="shared" si="91"/>
        <v>5.8651954492095978E-4</v>
      </c>
      <c r="AX116">
        <f t="shared" si="91"/>
        <v>3.9385437435993624E-4</v>
      </c>
      <c r="AY116">
        <f t="shared" si="91"/>
        <v>2.5381366265396244E-4</v>
      </c>
      <c r="AZ116">
        <f t="shared" si="91"/>
        <v>1.5697137321929087E-4</v>
      </c>
      <c r="BA116">
        <f t="shared" si="91"/>
        <v>9.3164843213475353E-5</v>
      </c>
    </row>
    <row r="117" spans="1:53" hidden="1" x14ac:dyDescent="0.25">
      <c r="A117" s="1">
        <v>26</v>
      </c>
      <c r="B117" s="2">
        <f t="shared" si="81"/>
        <v>1.7898081337766039</v>
      </c>
      <c r="C117">
        <f t="shared" si="87"/>
        <v>5.7511731779446096E-15</v>
      </c>
      <c r="D117">
        <f t="shared" si="87"/>
        <v>2.5502327936595279E-14</v>
      </c>
      <c r="E117">
        <f t="shared" si="87"/>
        <v>1.0852488778837913E-13</v>
      </c>
      <c r="F117">
        <f t="shared" si="87"/>
        <v>4.4320535932646487E-13</v>
      </c>
      <c r="G117">
        <f t="shared" si="87"/>
        <v>1.7370279222427166E-12</v>
      </c>
      <c r="H117">
        <f t="shared" si="87"/>
        <v>6.5333320974561587E-12</v>
      </c>
      <c r="I117">
        <f t="shared" si="87"/>
        <v>2.3582443780706697E-11</v>
      </c>
      <c r="J117">
        <f t="shared" si="87"/>
        <v>8.1690023227776239E-11</v>
      </c>
      <c r="K117">
        <f t="shared" si="87"/>
        <v>2.7156598396093638E-10</v>
      </c>
      <c r="L117">
        <f t="shared" si="87"/>
        <v>8.6637888340909661E-10</v>
      </c>
      <c r="M117">
        <f t="shared" si="88"/>
        <v>2.6525677534279123E-9</v>
      </c>
      <c r="N117">
        <f t="shared" si="88"/>
        <v>7.7938357915166564E-9</v>
      </c>
      <c r="O117">
        <f t="shared" si="88"/>
        <v>2.1976683594594306E-8</v>
      </c>
      <c r="P117">
        <f t="shared" si="88"/>
        <v>5.9470172493892515E-8</v>
      </c>
      <c r="Q117">
        <f t="shared" si="88"/>
        <v>1.5444091973132107E-7</v>
      </c>
      <c r="R117">
        <f t="shared" si="88"/>
        <v>3.8490335698454489E-7</v>
      </c>
      <c r="S117">
        <f t="shared" si="88"/>
        <v>9.2059191605282778E-7</v>
      </c>
      <c r="T117">
        <f t="shared" si="88"/>
        <v>2.1130450362715272E-6</v>
      </c>
      <c r="U117">
        <f t="shared" si="88"/>
        <v>4.6545370162304096E-6</v>
      </c>
      <c r="V117">
        <f t="shared" si="88"/>
        <v>9.8394395510430379E-6</v>
      </c>
      <c r="W117">
        <f t="shared" si="89"/>
        <v>1.9961371342761185E-5</v>
      </c>
      <c r="X117">
        <f t="shared" si="89"/>
        <v>3.8863018056540594E-5</v>
      </c>
      <c r="Y117">
        <f t="shared" si="89"/>
        <v>7.2612069271495077E-5</v>
      </c>
      <c r="Z117">
        <f t="shared" si="89"/>
        <v>1.3019887770397467E-4</v>
      </c>
      <c r="AA117">
        <f t="shared" si="89"/>
        <v>2.2404322038349463E-4</v>
      </c>
      <c r="AB117">
        <f t="shared" si="89"/>
        <v>3.6998363159118652E-4</v>
      </c>
      <c r="AC117">
        <f t="shared" si="89"/>
        <v>5.8635327304143317E-4</v>
      </c>
      <c r="AD117">
        <f t="shared" si="89"/>
        <v>8.9178945978586621E-4</v>
      </c>
      <c r="AE117">
        <f t="shared" si="89"/>
        <v>1.3016417042246045E-3</v>
      </c>
      <c r="AF117">
        <f t="shared" si="89"/>
        <v>1.823252060650808E-3</v>
      </c>
      <c r="AG117">
        <f t="shared" si="90"/>
        <v>2.4509142100964439E-3</v>
      </c>
      <c r="AH117">
        <f t="shared" si="90"/>
        <v>3.1618090996689417E-3</v>
      </c>
      <c r="AI117">
        <f t="shared" si="90"/>
        <v>3.9144370982502211E-3</v>
      </c>
      <c r="AJ117">
        <f t="shared" si="90"/>
        <v>4.6508157107259885E-3</v>
      </c>
      <c r="AK117">
        <f t="shared" si="90"/>
        <v>5.302920074704346E-3</v>
      </c>
      <c r="AL117">
        <f t="shared" si="90"/>
        <v>5.8026606184149454E-3</v>
      </c>
      <c r="AM117">
        <f t="shared" si="90"/>
        <v>6.093480114850054E-3</v>
      </c>
      <c r="AN117">
        <f t="shared" si="90"/>
        <v>6.140868029786333E-3</v>
      </c>
      <c r="AO117">
        <f t="shared" si="90"/>
        <v>5.9390949542193865E-3</v>
      </c>
      <c r="AP117">
        <f t="shared" si="90"/>
        <v>5.5123516129147836E-3</v>
      </c>
      <c r="AQ117">
        <f t="shared" si="91"/>
        <v>4.9099796636881696E-3</v>
      </c>
      <c r="AR117">
        <f t="shared" si="91"/>
        <v>4.197093201285868E-3</v>
      </c>
      <c r="AS117">
        <f t="shared" si="91"/>
        <v>3.4430527129439203E-3</v>
      </c>
      <c r="AT117">
        <f t="shared" si="91"/>
        <v>2.7105964718531972E-3</v>
      </c>
      <c r="AU117">
        <f t="shared" si="91"/>
        <v>2.0479163066740242E-3</v>
      </c>
      <c r="AV117">
        <f t="shared" si="91"/>
        <v>1.4848605807568107E-3</v>
      </c>
      <c r="AW117">
        <f t="shared" si="91"/>
        <v>1.0332021241291176E-3</v>
      </c>
      <c r="AX117">
        <f t="shared" si="91"/>
        <v>6.899395501480135E-4</v>
      </c>
      <c r="AY117">
        <f t="shared" si="91"/>
        <v>4.4214318003532187E-4</v>
      </c>
      <c r="AZ117">
        <f t="shared" si="91"/>
        <v>2.7191987898146641E-4</v>
      </c>
      <c r="BA117">
        <f t="shared" si="91"/>
        <v>1.6048894588709231E-4</v>
      </c>
    </row>
    <row r="118" spans="1:53" hidden="1" x14ac:dyDescent="0.25">
      <c r="A118" s="1">
        <v>27</v>
      </c>
      <c r="B118" s="2">
        <f t="shared" si="81"/>
        <v>1.9809948017020016</v>
      </c>
      <c r="C118">
        <f t="shared" si="87"/>
        <v>1.2444016836992276E-14</v>
      </c>
      <c r="D118">
        <f t="shared" si="87"/>
        <v>5.4872726190747923E-14</v>
      </c>
      <c r="E118">
        <f t="shared" si="87"/>
        <v>2.3220877276009878E-13</v>
      </c>
      <c r="F118">
        <f t="shared" si="87"/>
        <v>9.4303290664774012E-13</v>
      </c>
      <c r="G118">
        <f t="shared" si="87"/>
        <v>3.6753712198717296E-12</v>
      </c>
      <c r="H118">
        <f t="shared" si="87"/>
        <v>1.3746803078581188E-11</v>
      </c>
      <c r="I118">
        <f t="shared" si="87"/>
        <v>4.9343318198675074E-11</v>
      </c>
      <c r="J118">
        <f t="shared" si="87"/>
        <v>1.699734656183914E-10</v>
      </c>
      <c r="K118">
        <f t="shared" si="87"/>
        <v>5.6190131191906919E-10</v>
      </c>
      <c r="L118">
        <f t="shared" si="87"/>
        <v>1.7826459680500541E-9</v>
      </c>
      <c r="M118">
        <f t="shared" si="88"/>
        <v>5.42745579391351E-9</v>
      </c>
      <c r="N118">
        <f t="shared" si="88"/>
        <v>1.5858190366845784E-8</v>
      </c>
      <c r="O118">
        <f t="shared" si="88"/>
        <v>4.4466924959912673E-8</v>
      </c>
      <c r="P118">
        <f t="shared" si="88"/>
        <v>1.1965936851695301E-7</v>
      </c>
      <c r="Q118">
        <f t="shared" si="88"/>
        <v>3.0901705844126734E-7</v>
      </c>
      <c r="R118">
        <f t="shared" si="88"/>
        <v>7.658510993981488E-7</v>
      </c>
      <c r="S118">
        <f t="shared" si="88"/>
        <v>1.8215133753972669E-6</v>
      </c>
      <c r="T118">
        <f t="shared" si="88"/>
        <v>4.1576366059568655E-6</v>
      </c>
      <c r="U118">
        <f t="shared" si="88"/>
        <v>9.1072409956551516E-6</v>
      </c>
      <c r="V118">
        <f t="shared" si="88"/>
        <v>1.9144907348922727E-5</v>
      </c>
      <c r="W118">
        <f t="shared" si="89"/>
        <v>3.8622986056969425E-5</v>
      </c>
      <c r="X118">
        <f t="shared" si="89"/>
        <v>7.4776401953593176E-5</v>
      </c>
      <c r="Y118">
        <f t="shared" si="89"/>
        <v>1.3893428152819714E-4</v>
      </c>
      <c r="Z118">
        <f t="shared" si="89"/>
        <v>2.4773103286812701E-4</v>
      </c>
      <c r="AA118">
        <f t="shared" si="89"/>
        <v>4.239137911515297E-4</v>
      </c>
      <c r="AB118">
        <f t="shared" si="89"/>
        <v>6.96146776428678E-4</v>
      </c>
      <c r="AC118">
        <f t="shared" si="89"/>
        <v>1.0971101315726914E-3</v>
      </c>
      <c r="AD118">
        <f t="shared" si="89"/>
        <v>1.6593032866693003E-3</v>
      </c>
      <c r="AE118">
        <f t="shared" si="89"/>
        <v>2.4083935732183994E-3</v>
      </c>
      <c r="AF118">
        <f t="shared" si="89"/>
        <v>3.3547123253599917E-3</v>
      </c>
      <c r="AG118">
        <f t="shared" si="90"/>
        <v>4.484450633118961E-3</v>
      </c>
      <c r="AH118">
        <f t="shared" si="90"/>
        <v>5.7529334363467296E-3</v>
      </c>
      <c r="AI118">
        <f t="shared" si="90"/>
        <v>7.082646872221275E-3</v>
      </c>
      <c r="AJ118">
        <f t="shared" si="90"/>
        <v>8.3681213177518969E-3</v>
      </c>
      <c r="AK118">
        <f t="shared" si="90"/>
        <v>9.4882579904934303E-3</v>
      </c>
      <c r="AL118">
        <f t="shared" si="90"/>
        <v>1.0324550203974138E-2</v>
      </c>
      <c r="AM118">
        <f t="shared" si="90"/>
        <v>1.0781568200143773E-2</v>
      </c>
      <c r="AN118">
        <f t="shared" si="90"/>
        <v>1.08048531053968E-2</v>
      </c>
      <c r="AO118">
        <f t="shared" si="90"/>
        <v>1.0391588434424334E-2</v>
      </c>
      <c r="AP118">
        <f t="shared" si="90"/>
        <v>9.5911602512250716E-3</v>
      </c>
      <c r="AQ118">
        <f t="shared" si="91"/>
        <v>8.4954520945614825E-3</v>
      </c>
      <c r="AR118">
        <f t="shared" si="91"/>
        <v>7.2215094128965035E-3</v>
      </c>
      <c r="AS118">
        <f t="shared" si="91"/>
        <v>5.8910893069374073E-3</v>
      </c>
      <c r="AT118">
        <f t="shared" si="91"/>
        <v>4.6120007569235384E-3</v>
      </c>
      <c r="AU118">
        <f t="shared" si="91"/>
        <v>3.4650481326345631E-3</v>
      </c>
      <c r="AV118">
        <f t="shared" si="91"/>
        <v>2.4983616914852655E-3</v>
      </c>
      <c r="AW118">
        <f t="shared" si="91"/>
        <v>1.7287312821776723E-3</v>
      </c>
      <c r="AX118">
        <f t="shared" si="91"/>
        <v>1.1479574954940948E-3</v>
      </c>
      <c r="AY118">
        <f t="shared" si="91"/>
        <v>7.3156052653709899E-4</v>
      </c>
      <c r="AZ118">
        <f t="shared" si="91"/>
        <v>4.4740502551419552E-4</v>
      </c>
      <c r="BA118">
        <f t="shared" si="91"/>
        <v>2.625896417782746E-4</v>
      </c>
    </row>
    <row r="119" spans="1:53" hidden="1" x14ac:dyDescent="0.25">
      <c r="A119" s="1">
        <v>28</v>
      </c>
      <c r="B119" s="2">
        <f t="shared" si="81"/>
        <v>2.1721814696273993</v>
      </c>
      <c r="C119">
        <f t="shared" si="87"/>
        <v>2.5574322294481545E-14</v>
      </c>
      <c r="D119">
        <f t="shared" si="87"/>
        <v>1.1214312336693172E-13</v>
      </c>
      <c r="E119">
        <f t="shared" si="87"/>
        <v>4.7191882296879692E-13</v>
      </c>
      <c r="F119">
        <f t="shared" si="87"/>
        <v>1.9058472537698264E-12</v>
      </c>
      <c r="G119">
        <f t="shared" si="87"/>
        <v>7.3864373718093146E-12</v>
      </c>
      <c r="H119">
        <f t="shared" si="87"/>
        <v>2.7473126606401116E-11</v>
      </c>
      <c r="I119">
        <f t="shared" si="87"/>
        <v>9.8063478330461653E-11</v>
      </c>
      <c r="J119">
        <f t="shared" si="87"/>
        <v>3.3591750682477746E-10</v>
      </c>
      <c r="K119">
        <f t="shared" si="87"/>
        <v>1.1042924970115868E-9</v>
      </c>
      <c r="L119">
        <f t="shared" si="87"/>
        <v>3.4838684114393005E-9</v>
      </c>
      <c r="M119">
        <f t="shared" si="88"/>
        <v>1.0547887838148834E-8</v>
      </c>
      <c r="N119">
        <f t="shared" si="88"/>
        <v>3.0647524547338679E-8</v>
      </c>
      <c r="O119">
        <f t="shared" si="88"/>
        <v>8.5457746928978132E-8</v>
      </c>
      <c r="P119">
        <f t="shared" si="88"/>
        <v>2.2868285948179946E-7</v>
      </c>
      <c r="Q119">
        <f t="shared" si="88"/>
        <v>5.8727556047065538E-7</v>
      </c>
      <c r="R119">
        <f t="shared" si="88"/>
        <v>1.4473593813935589E-6</v>
      </c>
      <c r="S119">
        <f t="shared" si="88"/>
        <v>3.4232370298931391E-6</v>
      </c>
      <c r="T119">
        <f t="shared" si="88"/>
        <v>7.7700479830666067E-6</v>
      </c>
      <c r="U119">
        <f t="shared" si="88"/>
        <v>1.6925307534846877E-5</v>
      </c>
      <c r="V119">
        <f t="shared" si="88"/>
        <v>3.5381445746461984E-5</v>
      </c>
      <c r="W119">
        <f t="shared" si="89"/>
        <v>7.0980772206940537E-5</v>
      </c>
      <c r="X119">
        <f t="shared" si="89"/>
        <v>1.3665703793017478E-4</v>
      </c>
      <c r="Y119">
        <f t="shared" si="89"/>
        <v>2.5249304790371486E-4</v>
      </c>
      <c r="Z119">
        <f t="shared" si="89"/>
        <v>4.4770607257231412E-4</v>
      </c>
      <c r="AA119">
        <f t="shared" si="89"/>
        <v>7.6183809228505994E-4</v>
      </c>
      <c r="AB119">
        <f t="shared" si="89"/>
        <v>1.2441092554948188E-3</v>
      </c>
      <c r="AC119">
        <f t="shared" si="89"/>
        <v>1.9497570380325559E-3</v>
      </c>
      <c r="AD119">
        <f t="shared" si="89"/>
        <v>2.93243646162432E-3</v>
      </c>
      <c r="AE119">
        <f t="shared" si="89"/>
        <v>4.2325574677330932E-3</v>
      </c>
      <c r="AF119">
        <f t="shared" si="89"/>
        <v>5.8627753687123235E-3</v>
      </c>
      <c r="AG119">
        <f t="shared" si="90"/>
        <v>7.7934505507944295E-3</v>
      </c>
      <c r="AH119">
        <f t="shared" si="90"/>
        <v>9.9421990144525612E-3</v>
      </c>
      <c r="AI119">
        <f t="shared" si="90"/>
        <v>1.2171980803651273E-2</v>
      </c>
      <c r="AJ119">
        <f t="shared" si="90"/>
        <v>1.4300993319683236E-2</v>
      </c>
      <c r="AK119">
        <f t="shared" si="90"/>
        <v>1.612490955213219E-2</v>
      </c>
      <c r="AL119">
        <f t="shared" si="90"/>
        <v>1.744835582464254E-2</v>
      </c>
      <c r="AM119">
        <f t="shared" si="90"/>
        <v>1.8119152058974127E-2</v>
      </c>
      <c r="AN119">
        <f t="shared" si="90"/>
        <v>1.8057073615967985E-2</v>
      </c>
      <c r="AO119">
        <f t="shared" si="90"/>
        <v>1.7269628928136414E-2</v>
      </c>
      <c r="AP119">
        <f t="shared" si="90"/>
        <v>1.5850566256784118E-2</v>
      </c>
      <c r="AQ119">
        <f t="shared" si="91"/>
        <v>1.396151978885664E-2</v>
      </c>
      <c r="AR119">
        <f t="shared" si="91"/>
        <v>1.1801759196954153E-2</v>
      </c>
      <c r="AS119">
        <f t="shared" si="91"/>
        <v>9.5738570882555763E-3</v>
      </c>
      <c r="AT119">
        <f t="shared" si="91"/>
        <v>7.453380110740049E-3</v>
      </c>
      <c r="AU119">
        <f t="shared" si="91"/>
        <v>5.5685963499984533E-3</v>
      </c>
      <c r="AV119">
        <f t="shared" si="91"/>
        <v>3.9926785363310017E-3</v>
      </c>
      <c r="AW119">
        <f t="shared" si="91"/>
        <v>2.7473190042138686E-3</v>
      </c>
      <c r="AX119">
        <f t="shared" si="91"/>
        <v>1.8141783255992618E-3</v>
      </c>
      <c r="AY119">
        <f t="shared" si="91"/>
        <v>1.1496800524431329E-3</v>
      </c>
      <c r="AZ119">
        <f t="shared" si="91"/>
        <v>6.9919796693813376E-4</v>
      </c>
      <c r="BA119">
        <f t="shared" si="91"/>
        <v>4.0808389521801739E-4</v>
      </c>
    </row>
    <row r="120" spans="1:53" hidden="1" x14ac:dyDescent="0.25">
      <c r="A120" s="1">
        <v>29</v>
      </c>
      <c r="B120" s="2">
        <f t="shared" si="81"/>
        <v>2.3633681375527971</v>
      </c>
      <c r="C120">
        <f t="shared" si="87"/>
        <v>4.9921436864474205E-14</v>
      </c>
      <c r="D120">
        <f t="shared" si="87"/>
        <v>2.1768482604358108E-13</v>
      </c>
      <c r="E120">
        <f t="shared" si="87"/>
        <v>9.1095175273829344E-13</v>
      </c>
      <c r="F120">
        <f t="shared" si="87"/>
        <v>3.6583793159960664E-12</v>
      </c>
      <c r="G120">
        <f t="shared" si="87"/>
        <v>1.4099646636243825E-11</v>
      </c>
      <c r="H120">
        <f t="shared" si="87"/>
        <v>5.2149945950198813E-11</v>
      </c>
      <c r="I120">
        <f t="shared" si="87"/>
        <v>1.8510819040182252E-10</v>
      </c>
      <c r="J120">
        <f t="shared" si="87"/>
        <v>6.3055583118490136E-10</v>
      </c>
      <c r="K120">
        <f t="shared" si="87"/>
        <v>2.0613303412022907E-9</v>
      </c>
      <c r="L120">
        <f t="shared" si="87"/>
        <v>6.4669243974246203E-9</v>
      </c>
      <c r="M120">
        <f t="shared" si="88"/>
        <v>1.9470365770962178E-8</v>
      </c>
      <c r="N120">
        <f t="shared" si="88"/>
        <v>5.6257000811612841E-8</v>
      </c>
      <c r="O120">
        <f t="shared" si="88"/>
        <v>1.5599302453547085E-7</v>
      </c>
      <c r="P120">
        <f t="shared" si="88"/>
        <v>4.1510686958699943E-7</v>
      </c>
      <c r="Q120">
        <f t="shared" si="88"/>
        <v>1.0600852723464532E-6</v>
      </c>
      <c r="R120">
        <f t="shared" si="88"/>
        <v>2.5980518838155981E-6</v>
      </c>
      <c r="S120">
        <f t="shared" si="88"/>
        <v>6.1105594979676601E-6</v>
      </c>
      <c r="T120">
        <f t="shared" si="88"/>
        <v>1.3792413627765747E-5</v>
      </c>
      <c r="U120">
        <f t="shared" si="88"/>
        <v>2.9876224020699397E-5</v>
      </c>
      <c r="V120">
        <f t="shared" si="88"/>
        <v>6.210653212782747E-5</v>
      </c>
      <c r="W120">
        <f t="shared" si="89"/>
        <v>1.2390105126534499E-4</v>
      </c>
      <c r="X120">
        <f t="shared" si="89"/>
        <v>2.3721319388238308E-4</v>
      </c>
      <c r="Y120">
        <f t="shared" si="89"/>
        <v>4.3584174948558353E-4</v>
      </c>
      <c r="Z120">
        <f t="shared" si="89"/>
        <v>7.6850191820296992E-4</v>
      </c>
      <c r="AA120">
        <f t="shared" si="89"/>
        <v>1.3004307222165019E-3</v>
      </c>
      <c r="AB120">
        <f t="shared" si="89"/>
        <v>2.1118138053679569E-3</v>
      </c>
      <c r="AC120">
        <f t="shared" si="89"/>
        <v>3.2911688714940203E-3</v>
      </c>
      <c r="AD120">
        <f t="shared" si="89"/>
        <v>4.9223313742315098E-3</v>
      </c>
      <c r="AE120">
        <f t="shared" si="89"/>
        <v>7.0650894762304987E-3</v>
      </c>
      <c r="AF120">
        <f t="shared" si="89"/>
        <v>9.7317428324558974E-3</v>
      </c>
      <c r="AG120">
        <f t="shared" si="90"/>
        <v>1.2864405466162238E-2</v>
      </c>
      <c r="AH120">
        <f t="shared" si="90"/>
        <v>1.6319804593812912E-2</v>
      </c>
      <c r="AI120">
        <f t="shared" si="90"/>
        <v>1.9868557034254396E-2</v>
      </c>
      <c r="AJ120">
        <f t="shared" si="90"/>
        <v>2.3213671736035866E-2</v>
      </c>
      <c r="AK120">
        <f t="shared" si="90"/>
        <v>2.6028400985347054E-2</v>
      </c>
      <c r="AL120">
        <f t="shared" si="90"/>
        <v>2.8007689114372295E-2</v>
      </c>
      <c r="AM120">
        <f t="shared" si="90"/>
        <v>2.892232513372776E-2</v>
      </c>
      <c r="AN120">
        <f t="shared" si="90"/>
        <v>2.8662579302407544E-2</v>
      </c>
      <c r="AO120">
        <f t="shared" si="90"/>
        <v>2.7259850715128986E-2</v>
      </c>
      <c r="AP120">
        <f t="shared" si="90"/>
        <v>2.4880426196159752E-2</v>
      </c>
      <c r="AQ120">
        <f t="shared" si="91"/>
        <v>2.1793064098955948E-2</v>
      </c>
      <c r="AR120">
        <f t="shared" si="91"/>
        <v>1.8319132990001659E-2</v>
      </c>
      <c r="AS120">
        <f t="shared" si="91"/>
        <v>1.4778068429219622E-2</v>
      </c>
      <c r="AT120">
        <f t="shared" si="91"/>
        <v>1.1440804630576187E-2</v>
      </c>
      <c r="AU120">
        <f t="shared" si="91"/>
        <v>8.5000524214354656E-3</v>
      </c>
      <c r="AV120">
        <f t="shared" si="91"/>
        <v>6.060560308727596E-3</v>
      </c>
      <c r="AW120">
        <f t="shared" si="91"/>
        <v>4.146962316046672E-3</v>
      </c>
      <c r="AX120">
        <f t="shared" si="91"/>
        <v>2.723162381644668E-3</v>
      </c>
      <c r="AY120">
        <f t="shared" si="91"/>
        <v>1.7161021191167693E-3</v>
      </c>
      <c r="AZ120">
        <f t="shared" si="91"/>
        <v>1.0378601922928412E-3</v>
      </c>
      <c r="BA120">
        <f t="shared" si="91"/>
        <v>6.0236637404356751E-4</v>
      </c>
    </row>
    <row r="121" spans="1:53" hidden="1" x14ac:dyDescent="0.25">
      <c r="A121" s="1">
        <v>30</v>
      </c>
      <c r="B121" s="2">
        <f t="shared" si="81"/>
        <v>2.5545548054781948</v>
      </c>
      <c r="C121">
        <f t="shared" si="87"/>
        <v>9.2557031826848316E-14</v>
      </c>
      <c r="D121">
        <f t="shared" si="87"/>
        <v>4.0134981356149557E-13</v>
      </c>
      <c r="E121">
        <f t="shared" si="87"/>
        <v>1.6701783534588981E-12</v>
      </c>
      <c r="F121">
        <f t="shared" si="87"/>
        <v>6.6700451581649519E-12</v>
      </c>
      <c r="G121">
        <f t="shared" si="87"/>
        <v>2.556353071056739E-11</v>
      </c>
      <c r="H121">
        <f t="shared" si="87"/>
        <v>9.4024067904078984E-11</v>
      </c>
      <c r="I121">
        <f t="shared" si="87"/>
        <v>3.3188175331986585E-10</v>
      </c>
      <c r="J121">
        <f t="shared" si="87"/>
        <v>1.1242265908546499E-9</v>
      </c>
      <c r="K121">
        <f t="shared" si="87"/>
        <v>3.6546893630171321E-9</v>
      </c>
      <c r="L121">
        <f t="shared" si="87"/>
        <v>1.1401794877971872E-8</v>
      </c>
      <c r="M121">
        <f t="shared" si="88"/>
        <v>3.413674567191472E-8</v>
      </c>
      <c r="N121">
        <f t="shared" si="88"/>
        <v>9.8083769469817243E-8</v>
      </c>
      <c r="O121">
        <f t="shared" si="88"/>
        <v>2.7045705691533542E-7</v>
      </c>
      <c r="P121">
        <f t="shared" si="88"/>
        <v>7.1569111573283654E-7</v>
      </c>
      <c r="Q121">
        <f t="shared" si="88"/>
        <v>1.8175194743017259E-6</v>
      </c>
      <c r="R121">
        <f t="shared" si="88"/>
        <v>4.4295403097255973E-6</v>
      </c>
      <c r="S121">
        <f t="shared" si="88"/>
        <v>1.0360110366202435E-5</v>
      </c>
      <c r="T121">
        <f t="shared" si="88"/>
        <v>2.3253923757351217E-5</v>
      </c>
      <c r="U121">
        <f t="shared" si="88"/>
        <v>5.0090370604878976E-5</v>
      </c>
      <c r="V121">
        <f t="shared" si="88"/>
        <v>1.0354720581891462E-4</v>
      </c>
      <c r="W121">
        <f t="shared" si="89"/>
        <v>2.0542280815814725E-4</v>
      </c>
      <c r="X121">
        <f t="shared" si="89"/>
        <v>3.9109753431171258E-4</v>
      </c>
      <c r="Y121">
        <f t="shared" si="89"/>
        <v>7.145746949151514E-4</v>
      </c>
      <c r="Z121">
        <f t="shared" si="89"/>
        <v>1.2529574583766919E-3</v>
      </c>
      <c r="AA121">
        <f t="shared" si="89"/>
        <v>2.108391017196141E-3</v>
      </c>
      <c r="AB121">
        <f t="shared" si="89"/>
        <v>3.4048040846249368E-3</v>
      </c>
      <c r="AC121">
        <f t="shared" si="89"/>
        <v>5.2766615111189312E-3</v>
      </c>
      <c r="AD121">
        <f t="shared" si="89"/>
        <v>7.8478823327101706E-3</v>
      </c>
      <c r="AE121">
        <f t="shared" si="89"/>
        <v>1.1201388708646468E-2</v>
      </c>
      <c r="AF121">
        <f t="shared" si="89"/>
        <v>1.5343251090068516E-2</v>
      </c>
      <c r="AG121">
        <f t="shared" si="90"/>
        <v>2.0169217749560948E-2</v>
      </c>
      <c r="AH121">
        <f t="shared" si="90"/>
        <v>2.5444086047355801E-2</v>
      </c>
      <c r="AI121">
        <f t="shared" si="90"/>
        <v>3.0804261039316286E-2</v>
      </c>
      <c r="AJ121">
        <f t="shared" si="90"/>
        <v>3.5789931969232233E-2</v>
      </c>
      <c r="AK121">
        <f t="shared" si="90"/>
        <v>3.9905898096865851E-2</v>
      </c>
      <c r="AL121">
        <f t="shared" si="90"/>
        <v>4.2701137484169399E-2</v>
      </c>
      <c r="AM121">
        <f t="shared" si="90"/>
        <v>4.3849832354869792E-2</v>
      </c>
      <c r="AN121">
        <f t="shared" si="90"/>
        <v>4.3213811092440005E-2</v>
      </c>
      <c r="AO121">
        <f t="shared" si="90"/>
        <v>4.0869877815470496E-2</v>
      </c>
      <c r="AP121">
        <f t="shared" si="90"/>
        <v>3.7094562053609198E-2</v>
      </c>
      <c r="AQ121">
        <f t="shared" si="91"/>
        <v>3.2310471473386462E-2</v>
      </c>
      <c r="AR121">
        <f t="shared" si="91"/>
        <v>2.7008625372504605E-2</v>
      </c>
      <c r="AS121">
        <f t="shared" si="91"/>
        <v>2.1666452302529757E-2</v>
      </c>
      <c r="AT121">
        <f t="shared" si="91"/>
        <v>1.6680123726702589E-2</v>
      </c>
      <c r="AU121">
        <f t="shared" si="91"/>
        <v>1.2323579436635054E-2</v>
      </c>
      <c r="AV121">
        <f t="shared" si="91"/>
        <v>8.7377699925823317E-3</v>
      </c>
      <c r="AW121">
        <f t="shared" si="91"/>
        <v>5.9455287908783084E-3</v>
      </c>
      <c r="AX121">
        <f t="shared" si="91"/>
        <v>3.8824556467234365E-3</v>
      </c>
      <c r="AY121">
        <f t="shared" si="91"/>
        <v>2.433036689698105E-3</v>
      </c>
      <c r="AZ121">
        <f t="shared" si="91"/>
        <v>1.4632446723993199E-3</v>
      </c>
      <c r="BA121">
        <f t="shared" si="91"/>
        <v>8.4452280891568466E-4</v>
      </c>
    </row>
    <row r="122" spans="1:53" hidden="1" x14ac:dyDescent="0.25">
      <c r="A122" s="1">
        <v>31</v>
      </c>
      <c r="B122" s="2">
        <f t="shared" si="81"/>
        <v>2.7457414734035916</v>
      </c>
      <c r="C122">
        <f t="shared" ref="C122:L131" si="92">SQRT($I$14*$J$14-$K$14^2)/PI()*EXP(-($I$14*((C$91-$C$14)^2)+2*$K$14*(C$91-$C$14)*($B122-$C$15)+$J$14*(($B122-$C$15)^2)))</f>
        <v>1.6299382818725845E-13</v>
      </c>
      <c r="D122">
        <f t="shared" si="92"/>
        <v>7.0284146134069476E-13</v>
      </c>
      <c r="E122">
        <f t="shared" si="92"/>
        <v>2.9085043962190981E-12</v>
      </c>
      <c r="F122">
        <f t="shared" si="92"/>
        <v>1.1550697613169444E-11</v>
      </c>
      <c r="G122">
        <f t="shared" si="92"/>
        <v>4.4022311552374931E-11</v>
      </c>
      <c r="H122">
        <f t="shared" si="92"/>
        <v>1.6101398919403211E-10</v>
      </c>
      <c r="I122">
        <f t="shared" si="92"/>
        <v>5.6517184084763095E-10</v>
      </c>
      <c r="J122">
        <f t="shared" si="92"/>
        <v>1.9038098054825033E-9</v>
      </c>
      <c r="K122">
        <f t="shared" si="92"/>
        <v>6.1544995133067168E-9</v>
      </c>
      <c r="L122">
        <f t="shared" si="92"/>
        <v>1.9093610658272955E-8</v>
      </c>
      <c r="M122">
        <f t="shared" ref="M122:V131" si="93">SQRT($I$14*$J$14-$K$14^2)/PI()*EXP(-($I$14*((M$91-$C$14)^2)+2*$K$14*(M$91-$C$14)*($B122-$C$15)+$J$14*(($B122-$C$15)^2)))</f>
        <v>5.6847258041352766E-8</v>
      </c>
      <c r="N122">
        <f t="shared" si="93"/>
        <v>1.6242658733826418E-7</v>
      </c>
      <c r="O122">
        <f t="shared" si="93"/>
        <v>4.4538014871390641E-7</v>
      </c>
      <c r="P122">
        <f t="shared" si="93"/>
        <v>1.1720084171256579E-6</v>
      </c>
      <c r="Q122">
        <f t="shared" si="93"/>
        <v>2.9597616859075961E-6</v>
      </c>
      <c r="R122">
        <f t="shared" si="93"/>
        <v>7.1731332033803511E-6</v>
      </c>
      <c r="S122">
        <f t="shared" si="93"/>
        <v>1.6683500774620752E-5</v>
      </c>
      <c r="T122">
        <f t="shared" si="93"/>
        <v>3.7238451607180849E-5</v>
      </c>
      <c r="U122">
        <f t="shared" si="93"/>
        <v>7.976680217057318E-5</v>
      </c>
      <c r="V122">
        <f t="shared" si="93"/>
        <v>1.6397547108920317E-4</v>
      </c>
      <c r="W122">
        <f t="shared" ref="W122:AF131" si="94">SQRT($I$14*$J$14-$K$14^2)/PI()*EXP(-($I$14*((W$91-$C$14)^2)+2*$K$14*(W$91-$C$14)*($B122-$C$15)+$J$14*(($B122-$C$15)^2)))</f>
        <v>3.2349064910248097E-4</v>
      </c>
      <c r="X122">
        <f t="shared" si="94"/>
        <v>6.1245010571019446E-4</v>
      </c>
      <c r="Y122">
        <f t="shared" si="94"/>
        <v>1.1127710923277483E-3</v>
      </c>
      <c r="Z122">
        <f t="shared" si="94"/>
        <v>1.9402920065507583E-3</v>
      </c>
      <c r="AA122">
        <f t="shared" si="94"/>
        <v>3.2467921891984244E-3</v>
      </c>
      <c r="AB122">
        <f t="shared" si="94"/>
        <v>5.2139640090356999E-3</v>
      </c>
      <c r="AC122">
        <f t="shared" si="94"/>
        <v>8.0354037606013475E-3</v>
      </c>
      <c r="AD122">
        <f t="shared" si="94"/>
        <v>1.1884297565821936E-2</v>
      </c>
      <c r="AE122">
        <f t="shared" si="94"/>
        <v>1.6868072900768024E-2</v>
      </c>
      <c r="AF122">
        <f t="shared" si="94"/>
        <v>2.2976483396653938E-2</v>
      </c>
      <c r="AG122">
        <f t="shared" ref="AG122:AP131" si="95">SQRT($I$14*$J$14-$K$14^2)/PI()*EXP(-($I$14*((AG$91-$C$14)^2)+2*$K$14*(AG$91-$C$14)*($B122-$C$15)+$J$14*(($B122-$C$15)^2)))</f>
        <v>3.0035010529528307E-2</v>
      </c>
      <c r="AH122">
        <f t="shared" si="95"/>
        <v>3.7678894828057946E-2</v>
      </c>
      <c r="AI122">
        <f t="shared" si="95"/>
        <v>4.5362257724545108E-2</v>
      </c>
      <c r="AJ122">
        <f t="shared" si="95"/>
        <v>5.241037968954116E-2</v>
      </c>
      <c r="AK122">
        <f t="shared" si="95"/>
        <v>5.81120356256511E-2</v>
      </c>
      <c r="AL122">
        <f t="shared" si="95"/>
        <v>6.1835946106204916E-2</v>
      </c>
      <c r="AM122">
        <f t="shared" si="95"/>
        <v>6.3145451041345071E-2</v>
      </c>
      <c r="AN122">
        <f t="shared" si="95"/>
        <v>6.1882701966364244E-2</v>
      </c>
      <c r="AO122">
        <f t="shared" si="95"/>
        <v>5.8199949067952582E-2</v>
      </c>
      <c r="AP122">
        <f t="shared" si="95"/>
        <v>5.2529356395962089E-2</v>
      </c>
      <c r="AQ122">
        <f t="shared" ref="AQ122:BA131" si="96">SQRT($I$14*$J$14-$K$14^2)/PI()*EXP(-($I$14*((AQ$91-$C$14)^2)+2*$K$14*(AQ$91-$C$14)*($B122-$C$15)+$J$14*(($B122-$C$15)^2)))</f>
        <v>4.5499612016976179E-2</v>
      </c>
      <c r="AR122">
        <f t="shared" si="96"/>
        <v>3.7821560657348263E-2</v>
      </c>
      <c r="AS122">
        <f t="shared" si="96"/>
        <v>3.017153015450795E-2</v>
      </c>
      <c r="AT122">
        <f t="shared" si="96"/>
        <v>2.3098371666012339E-2</v>
      </c>
      <c r="AU122">
        <f t="shared" si="96"/>
        <v>1.6970378652611275E-2</v>
      </c>
      <c r="AV122">
        <f t="shared" si="96"/>
        <v>1.1965417002589735E-2</v>
      </c>
      <c r="AW122">
        <f t="shared" si="96"/>
        <v>8.0963688098679258E-3</v>
      </c>
      <c r="AX122">
        <f t="shared" si="96"/>
        <v>5.2574949730931032E-3</v>
      </c>
      <c r="AY122">
        <f t="shared" si="96"/>
        <v>3.2763748801500226E-3</v>
      </c>
      <c r="AZ122">
        <f t="shared" si="96"/>
        <v>1.9594511801335288E-3</v>
      </c>
      <c r="BA122">
        <f t="shared" si="96"/>
        <v>1.1246087180393071E-3</v>
      </c>
    </row>
    <row r="123" spans="1:53" hidden="1" x14ac:dyDescent="0.25">
      <c r="A123" s="1">
        <v>32</v>
      </c>
      <c r="B123" s="2">
        <f t="shared" si="81"/>
        <v>2.9369281413289894</v>
      </c>
      <c r="C123">
        <f t="shared" si="92"/>
        <v>2.7262915665015426E-13</v>
      </c>
      <c r="D123">
        <f t="shared" si="92"/>
        <v>1.1690445984496176E-12</v>
      </c>
      <c r="E123">
        <f t="shared" si="92"/>
        <v>4.8107855467520254E-12</v>
      </c>
      <c r="F123">
        <f t="shared" si="92"/>
        <v>1.8998838627535205E-11</v>
      </c>
      <c r="G123">
        <f t="shared" si="92"/>
        <v>7.2005264302025431E-11</v>
      </c>
      <c r="H123">
        <f t="shared" si="92"/>
        <v>2.6189522619710279E-10</v>
      </c>
      <c r="I123">
        <f t="shared" si="92"/>
        <v>9.1414913797140261E-10</v>
      </c>
      <c r="J123">
        <f t="shared" si="92"/>
        <v>3.0621937403887826E-9</v>
      </c>
      <c r="K123">
        <f t="shared" si="92"/>
        <v>9.8440636517928163E-9</v>
      </c>
      <c r="L123">
        <f t="shared" si="92"/>
        <v>3.0369825774724147E-8</v>
      </c>
      <c r="M123">
        <f t="shared" si="93"/>
        <v>8.9915864923338922E-8</v>
      </c>
      <c r="N123">
        <f t="shared" si="93"/>
        <v>2.5547975467638071E-7</v>
      </c>
      <c r="O123">
        <f t="shared" si="93"/>
        <v>6.9663099447784275E-7</v>
      </c>
      <c r="P123">
        <f t="shared" si="93"/>
        <v>1.8229520038461808E-6</v>
      </c>
      <c r="Q123">
        <f t="shared" si="93"/>
        <v>4.5779791881961402E-6</v>
      </c>
      <c r="R123">
        <f t="shared" si="93"/>
        <v>1.1033124837278909E-5</v>
      </c>
      <c r="S123">
        <f t="shared" si="93"/>
        <v>2.5518161916194542E-5</v>
      </c>
      <c r="T123">
        <f t="shared" si="93"/>
        <v>5.6640409407515932E-5</v>
      </c>
      <c r="U123">
        <f t="shared" si="93"/>
        <v>1.2065060872598283E-4</v>
      </c>
      <c r="V123">
        <f t="shared" si="93"/>
        <v>2.4663731820317325E-4</v>
      </c>
      <c r="W123">
        <f t="shared" si="94"/>
        <v>4.8385384880856192E-4</v>
      </c>
      <c r="X123">
        <f t="shared" si="94"/>
        <v>9.1095253552820699E-4</v>
      </c>
      <c r="Y123">
        <f t="shared" si="94"/>
        <v>1.6458999667549475E-3</v>
      </c>
      <c r="Z123">
        <f t="shared" si="94"/>
        <v>2.8538902149278988E-3</v>
      </c>
      <c r="AA123">
        <f t="shared" si="94"/>
        <v>4.7489459515461137E-3</v>
      </c>
      <c r="AB123">
        <f t="shared" si="94"/>
        <v>7.5837381570025911E-3</v>
      </c>
      <c r="AC123">
        <f t="shared" si="94"/>
        <v>1.1622393388750804E-2</v>
      </c>
      <c r="AD123">
        <f t="shared" si="94"/>
        <v>1.70936162940695E-2</v>
      </c>
      <c r="AE123">
        <f t="shared" si="94"/>
        <v>2.4126730290504293E-2</v>
      </c>
      <c r="AF123">
        <f t="shared" si="94"/>
        <v>3.268053263332156E-2</v>
      </c>
      <c r="AG123">
        <f t="shared" si="95"/>
        <v>4.2482094572449912E-2</v>
      </c>
      <c r="AH123">
        <f t="shared" si="95"/>
        <v>5.2996703343535297E-2</v>
      </c>
      <c r="AI123">
        <f t="shared" si="95"/>
        <v>6.3447998619766396E-2</v>
      </c>
      <c r="AJ123">
        <f t="shared" si="95"/>
        <v>7.289758452693039E-2</v>
      </c>
      <c r="AK123">
        <f t="shared" si="95"/>
        <v>8.0377498746946954E-2</v>
      </c>
      <c r="AL123">
        <f t="shared" si="95"/>
        <v>8.5051499531715036E-2</v>
      </c>
      <c r="AM123">
        <f t="shared" si="95"/>
        <v>8.6368544561667787E-2</v>
      </c>
      <c r="AN123">
        <f t="shared" si="95"/>
        <v>8.4169619864719381E-2</v>
      </c>
      <c r="AO123">
        <f t="shared" si="95"/>
        <v>7.8719308217722592E-2</v>
      </c>
      <c r="AP123">
        <f t="shared" si="95"/>
        <v>7.0653439783523869E-2</v>
      </c>
      <c r="AQ123">
        <f t="shared" si="96"/>
        <v>6.0857133247049749E-2</v>
      </c>
      <c r="AR123">
        <f t="shared" si="96"/>
        <v>5.0305539280099863E-2</v>
      </c>
      <c r="AS123">
        <f t="shared" si="96"/>
        <v>3.9906741335083089E-2</v>
      </c>
      <c r="AT123">
        <f t="shared" si="96"/>
        <v>3.0381055742207848E-2</v>
      </c>
      <c r="AU123">
        <f t="shared" si="96"/>
        <v>2.2196556030628964E-2</v>
      </c>
      <c r="AV123">
        <f t="shared" si="96"/>
        <v>1.5563041227487544E-2</v>
      </c>
      <c r="AW123">
        <f t="shared" si="96"/>
        <v>1.0471996269731013E-2</v>
      </c>
      <c r="AX123">
        <f t="shared" si="96"/>
        <v>6.762240745781186E-3</v>
      </c>
      <c r="AY123">
        <f t="shared" si="96"/>
        <v>4.1906164755225184E-3</v>
      </c>
      <c r="AZ123">
        <f t="shared" si="96"/>
        <v>2.4922484951726783E-3</v>
      </c>
      <c r="BA123">
        <f t="shared" si="96"/>
        <v>1.4224300130310818E-3</v>
      </c>
    </row>
    <row r="124" spans="1:53" hidden="1" x14ac:dyDescent="0.25">
      <c r="A124" s="1">
        <v>33</v>
      </c>
      <c r="B124" s="2">
        <f t="shared" si="81"/>
        <v>3.1281148092543871</v>
      </c>
      <c r="C124">
        <f t="shared" si="92"/>
        <v>4.3312458843013143E-13</v>
      </c>
      <c r="D124">
        <f t="shared" si="92"/>
        <v>1.8469034185736666E-12</v>
      </c>
      <c r="E124">
        <f t="shared" si="92"/>
        <v>7.5579091911851555E-12</v>
      </c>
      <c r="F124">
        <f t="shared" si="92"/>
        <v>2.9681462238513373E-11</v>
      </c>
      <c r="G124">
        <f t="shared" si="92"/>
        <v>1.1186521294778318E-10</v>
      </c>
      <c r="H124">
        <f t="shared" si="92"/>
        <v>4.046047280865349E-10</v>
      </c>
      <c r="I124">
        <f t="shared" si="92"/>
        <v>1.4044070204163525E-9</v>
      </c>
      <c r="J124">
        <f t="shared" si="92"/>
        <v>4.6782256795152979E-9</v>
      </c>
      <c r="K124">
        <f t="shared" si="92"/>
        <v>1.4955312205562099E-8</v>
      </c>
      <c r="L124">
        <f t="shared" si="92"/>
        <v>4.5881323533288231E-8</v>
      </c>
      <c r="M124">
        <f t="shared" si="93"/>
        <v>1.3508356998370983E-7</v>
      </c>
      <c r="N124">
        <f t="shared" si="93"/>
        <v>3.8167635871093078E-7</v>
      </c>
      <c r="O124">
        <f t="shared" si="93"/>
        <v>1.0349375141469337E-6</v>
      </c>
      <c r="P124">
        <f t="shared" si="93"/>
        <v>2.6931412818099412E-6</v>
      </c>
      <c r="Q124">
        <f t="shared" si="93"/>
        <v>6.7255883653998144E-6</v>
      </c>
      <c r="R124">
        <f t="shared" si="93"/>
        <v>1.6118609268939401E-5</v>
      </c>
      <c r="S124">
        <f t="shared" si="93"/>
        <v>3.7072424614284346E-5</v>
      </c>
      <c r="T124">
        <f t="shared" si="93"/>
        <v>8.1827739186211428E-5</v>
      </c>
      <c r="U124">
        <f t="shared" si="93"/>
        <v>1.7333100384546782E-4</v>
      </c>
      <c r="V124">
        <f t="shared" si="93"/>
        <v>3.5235309508318061E-4</v>
      </c>
      <c r="W124">
        <f t="shared" si="94"/>
        <v>6.8739452331541295E-4</v>
      </c>
      <c r="X124">
        <f t="shared" si="94"/>
        <v>1.2869455812984474E-3</v>
      </c>
      <c r="Y124">
        <f t="shared" si="94"/>
        <v>2.3122800756007617E-3</v>
      </c>
      <c r="Z124">
        <f t="shared" si="94"/>
        <v>3.98700545036915E-3</v>
      </c>
      <c r="AA124">
        <f t="shared" si="94"/>
        <v>6.5974994123909163E-3</v>
      </c>
      <c r="AB124">
        <f t="shared" si="94"/>
        <v>1.0477026189993462E-2</v>
      </c>
      <c r="AC124">
        <f t="shared" si="94"/>
        <v>1.5966982060630439E-2</v>
      </c>
      <c r="AD124">
        <f t="shared" si="94"/>
        <v>2.3352521663350036E-2</v>
      </c>
      <c r="AE124">
        <f t="shared" si="94"/>
        <v>3.2777125832059419E-2</v>
      </c>
      <c r="AF124">
        <f t="shared" si="94"/>
        <v>4.4150343986935521E-2</v>
      </c>
      <c r="AG124">
        <f t="shared" si="95"/>
        <v>5.7072047485948102E-2</v>
      </c>
      <c r="AH124">
        <f t="shared" si="95"/>
        <v>7.0800928559644205E-2</v>
      </c>
      <c r="AI124">
        <f t="shared" si="95"/>
        <v>8.429088083227218E-2</v>
      </c>
      <c r="AJ124">
        <f t="shared" si="95"/>
        <v>9.6304896612267432E-2</v>
      </c>
      <c r="AK124">
        <f t="shared" si="95"/>
        <v>0.1055947399453374</v>
      </c>
      <c r="AL124">
        <f t="shared" si="95"/>
        <v>0.11111235157148312</v>
      </c>
      <c r="AM124">
        <f t="shared" si="95"/>
        <v>0.1122040496358167</v>
      </c>
      <c r="AN124">
        <f t="shared" si="95"/>
        <v>0.10873788028154453</v>
      </c>
      <c r="AO124">
        <f t="shared" si="95"/>
        <v>0.10112984281199379</v>
      </c>
      <c r="AP124">
        <f t="shared" si="95"/>
        <v>9.0261789659179442E-2</v>
      </c>
      <c r="AQ124">
        <f t="shared" si="96"/>
        <v>7.7313384707506719E-2</v>
      </c>
      <c r="AR124">
        <f t="shared" si="96"/>
        <v>6.3552343763994018E-2</v>
      </c>
      <c r="AS124">
        <f t="shared" si="96"/>
        <v>5.0134258395646378E-2</v>
      </c>
      <c r="AT124">
        <f t="shared" si="96"/>
        <v>3.7954542162414576E-2</v>
      </c>
      <c r="AU124">
        <f t="shared" si="96"/>
        <v>2.7575224531779938E-2</v>
      </c>
      <c r="AV124">
        <f t="shared" si="96"/>
        <v>1.9226511685408048E-2</v>
      </c>
      <c r="AW124">
        <f t="shared" si="96"/>
        <v>1.2864949138825143E-2</v>
      </c>
      <c r="AX124">
        <f t="shared" si="96"/>
        <v>8.2611743778052398E-3</v>
      </c>
      <c r="AY124">
        <f t="shared" si="96"/>
        <v>5.0909829632115019E-3</v>
      </c>
      <c r="AZ124">
        <f t="shared" si="96"/>
        <v>3.0108397179286115E-3</v>
      </c>
      <c r="BA124">
        <f t="shared" si="96"/>
        <v>1.7088335722286875E-3</v>
      </c>
    </row>
    <row r="125" spans="1:53" hidden="1" x14ac:dyDescent="0.25">
      <c r="A125" s="1">
        <v>34</v>
      </c>
      <c r="B125" s="2">
        <f t="shared" si="81"/>
        <v>3.3193014771797849</v>
      </c>
      <c r="C125">
        <f t="shared" si="92"/>
        <v>6.5357100581771239E-13</v>
      </c>
      <c r="D125">
        <f t="shared" si="92"/>
        <v>2.771383900818629E-12</v>
      </c>
      <c r="E125">
        <f t="shared" si="92"/>
        <v>1.1277861077627102E-11</v>
      </c>
      <c r="F125">
        <f t="shared" si="92"/>
        <v>4.4043612178947919E-11</v>
      </c>
      <c r="G125">
        <f t="shared" si="92"/>
        <v>1.6506890014833945E-10</v>
      </c>
      <c r="H125">
        <f t="shared" si="92"/>
        <v>5.9370912495116009E-10</v>
      </c>
      <c r="I125">
        <f t="shared" si="92"/>
        <v>2.0493131579480063E-9</v>
      </c>
      <c r="J125">
        <f t="shared" si="92"/>
        <v>6.7884257426884143E-9</v>
      </c>
      <c r="K125">
        <f t="shared" si="92"/>
        <v>2.1580224251412177E-8</v>
      </c>
      <c r="L125">
        <f t="shared" si="92"/>
        <v>6.5836839363617342E-8</v>
      </c>
      <c r="M125">
        <f t="shared" si="93"/>
        <v>1.9275610060963015E-7</v>
      </c>
      <c r="N125">
        <f t="shared" si="93"/>
        <v>5.4159348216829899E-7</v>
      </c>
      <c r="O125">
        <f t="shared" si="93"/>
        <v>1.4603765973543886E-6</v>
      </c>
      <c r="P125">
        <f t="shared" si="93"/>
        <v>3.7790482660604397E-6</v>
      </c>
      <c r="Q125">
        <f t="shared" si="93"/>
        <v>9.384824407720723E-6</v>
      </c>
      <c r="R125">
        <f t="shared" si="93"/>
        <v>2.236639560855142E-5</v>
      </c>
      <c r="S125">
        <f t="shared" si="93"/>
        <v>5.1155459700354572E-5</v>
      </c>
      <c r="T125">
        <f t="shared" si="93"/>
        <v>1.1228302895526697E-4</v>
      </c>
      <c r="U125">
        <f t="shared" si="93"/>
        <v>2.3651701326810626E-4</v>
      </c>
      <c r="V125">
        <f t="shared" si="93"/>
        <v>4.7811986807121408E-4</v>
      </c>
      <c r="W125">
        <f t="shared" si="94"/>
        <v>9.2755000984976789E-4</v>
      </c>
      <c r="X125">
        <f t="shared" si="94"/>
        <v>1.7268873820041101E-3</v>
      </c>
      <c r="Y125">
        <f t="shared" si="94"/>
        <v>3.0854380894490695E-3</v>
      </c>
      <c r="Z125">
        <f t="shared" si="94"/>
        <v>5.2904887516155618E-3</v>
      </c>
      <c r="AA125">
        <f t="shared" si="94"/>
        <v>8.7056437805459394E-3</v>
      </c>
      <c r="AB125">
        <f t="shared" si="94"/>
        <v>1.3747765903734079E-2</v>
      </c>
      <c r="AC125">
        <f t="shared" si="94"/>
        <v>2.0834807999003765E-2</v>
      </c>
      <c r="AD125">
        <f t="shared" si="94"/>
        <v>3.0302120112040285E-2</v>
      </c>
      <c r="AE125">
        <f t="shared" si="94"/>
        <v>4.2294380346774789E-2</v>
      </c>
      <c r="AF125">
        <f t="shared" si="94"/>
        <v>5.6652418693646192E-2</v>
      </c>
      <c r="AG125">
        <f t="shared" si="95"/>
        <v>7.282498172459094E-2</v>
      </c>
      <c r="AH125">
        <f t="shared" si="95"/>
        <v>8.9839732664800637E-2</v>
      </c>
      <c r="AI125">
        <f t="shared" si="95"/>
        <v>0.10636105978914108</v>
      </c>
      <c r="AJ125">
        <f t="shared" si="95"/>
        <v>0.12084341772131052</v>
      </c>
      <c r="AK125">
        <f t="shared" si="95"/>
        <v>0.13176178863223645</v>
      </c>
      <c r="AL125">
        <f t="shared" si="95"/>
        <v>0.13787391321651554</v>
      </c>
      <c r="AM125">
        <f t="shared" si="95"/>
        <v>0.13845251883021914</v>
      </c>
      <c r="AN125">
        <f t="shared" si="95"/>
        <v>0.13342762590458804</v>
      </c>
      <c r="AO125">
        <f t="shared" si="95"/>
        <v>0.12340046453673059</v>
      </c>
      <c r="AP125">
        <f t="shared" si="95"/>
        <v>0.10952517834064636</v>
      </c>
      <c r="AQ125">
        <f t="shared" si="96"/>
        <v>9.3290470183061205E-2</v>
      </c>
      <c r="AR125">
        <f t="shared" si="96"/>
        <v>7.6258232192873476E-2</v>
      </c>
      <c r="AS125">
        <f t="shared" si="96"/>
        <v>5.9822192109051681E-2</v>
      </c>
      <c r="AT125">
        <f t="shared" si="96"/>
        <v>4.5036439794406913E-2</v>
      </c>
      <c r="AU125">
        <f t="shared" si="96"/>
        <v>3.2538079678450092E-2</v>
      </c>
      <c r="AV125">
        <f t="shared" si="96"/>
        <v>2.2560354707195626E-2</v>
      </c>
      <c r="AW125">
        <f t="shared" si="96"/>
        <v>1.501156832788624E-2</v>
      </c>
      <c r="AX125">
        <f t="shared" si="96"/>
        <v>9.5858879812154296E-3</v>
      </c>
      <c r="AY125">
        <f t="shared" si="96"/>
        <v>5.8744169772320994E-3</v>
      </c>
      <c r="AZ125">
        <f t="shared" si="96"/>
        <v>3.4548033299093488E-3</v>
      </c>
      <c r="BA125">
        <f t="shared" si="96"/>
        <v>1.9498806396404927E-3</v>
      </c>
    </row>
    <row r="126" spans="1:53" hidden="1" x14ac:dyDescent="0.25">
      <c r="A126" s="1">
        <v>35</v>
      </c>
      <c r="B126" s="2">
        <f t="shared" si="81"/>
        <v>3.5104881451051826</v>
      </c>
      <c r="C126">
        <f t="shared" si="92"/>
        <v>9.3672500767718093E-13</v>
      </c>
      <c r="D126">
        <f t="shared" si="92"/>
        <v>3.9499226717101514E-12</v>
      </c>
      <c r="E126">
        <f t="shared" si="92"/>
        <v>1.5984211251693793E-11</v>
      </c>
      <c r="F126">
        <f t="shared" si="92"/>
        <v>6.2075462839195228E-11</v>
      </c>
      <c r="G126">
        <f t="shared" si="92"/>
        <v>2.3135285355173649E-10</v>
      </c>
      <c r="H126">
        <f t="shared" si="92"/>
        <v>8.2747692747702685E-10</v>
      </c>
      <c r="I126">
        <f t="shared" si="92"/>
        <v>2.840292482348031E-9</v>
      </c>
      <c r="J126">
        <f t="shared" si="92"/>
        <v>9.3561327226121985E-9</v>
      </c>
      <c r="K126">
        <f t="shared" si="92"/>
        <v>2.957711582163585E-8</v>
      </c>
      <c r="L126">
        <f t="shared" si="92"/>
        <v>8.9730772894537921E-8</v>
      </c>
      <c r="M126">
        <f t="shared" si="93"/>
        <v>2.612480957805233E-7</v>
      </c>
      <c r="N126">
        <f t="shared" si="93"/>
        <v>7.299464438189824E-7</v>
      </c>
      <c r="O126">
        <f t="shared" si="93"/>
        <v>1.9572891970230401E-6</v>
      </c>
      <c r="P126">
        <f t="shared" si="93"/>
        <v>5.036689048746887E-6</v>
      </c>
      <c r="Q126">
        <f t="shared" si="93"/>
        <v>1.2438311201466676E-5</v>
      </c>
      <c r="R126">
        <f t="shared" si="93"/>
        <v>2.9478395132406796E-5</v>
      </c>
      <c r="S126">
        <f t="shared" si="93"/>
        <v>6.7045925754648253E-5</v>
      </c>
      <c r="T126">
        <f t="shared" si="93"/>
        <v>1.4634135979727398E-4</v>
      </c>
      <c r="U126">
        <f t="shared" si="93"/>
        <v>3.065405406275436E-4</v>
      </c>
      <c r="V126">
        <f t="shared" si="93"/>
        <v>6.1621872396079461E-4</v>
      </c>
      <c r="W126">
        <f t="shared" si="94"/>
        <v>1.1887978203087165E-3</v>
      </c>
      <c r="X126">
        <f t="shared" si="94"/>
        <v>2.2009351603295754E-3</v>
      </c>
      <c r="Y126">
        <f t="shared" si="94"/>
        <v>3.9105031058457038E-3</v>
      </c>
      <c r="Z126">
        <f t="shared" si="94"/>
        <v>6.6678244983706782E-3</v>
      </c>
      <c r="AA126">
        <f t="shared" si="94"/>
        <v>1.0910931370691873E-2</v>
      </c>
      <c r="AB126">
        <f t="shared" si="94"/>
        <v>1.7134270792441033E-2</v>
      </c>
      <c r="AC126">
        <f t="shared" si="94"/>
        <v>2.5822338322889583E-2</v>
      </c>
      <c r="AD126">
        <f t="shared" si="94"/>
        <v>3.7346649522281519E-2</v>
      </c>
      <c r="AE126">
        <f t="shared" si="94"/>
        <v>5.1836284366354506E-2</v>
      </c>
      <c r="AF126">
        <f t="shared" si="94"/>
        <v>6.9046587582965391E-2</v>
      </c>
      <c r="AG126">
        <f t="shared" si="95"/>
        <v>8.8262599548515883E-2</v>
      </c>
      <c r="AH126">
        <f t="shared" si="95"/>
        <v>0.10827728247150775</v>
      </c>
      <c r="AI126">
        <f t="shared" si="95"/>
        <v>0.12747473531687917</v>
      </c>
      <c r="AJ126">
        <f t="shared" si="95"/>
        <v>0.14402471645223863</v>
      </c>
      <c r="AK126">
        <f t="shared" si="95"/>
        <v>0.15616225705997941</v>
      </c>
      <c r="AL126">
        <f t="shared" si="95"/>
        <v>0.162495472227183</v>
      </c>
      <c r="AM126">
        <f t="shared" si="95"/>
        <v>0.16226789027811558</v>
      </c>
      <c r="AN126">
        <f t="shared" si="95"/>
        <v>0.15550703955738898</v>
      </c>
      <c r="AO126">
        <f t="shared" si="95"/>
        <v>0.1430189732975593</v>
      </c>
      <c r="AP126">
        <f t="shared" si="95"/>
        <v>0.12623023678238743</v>
      </c>
      <c r="AQ126">
        <f t="shared" si="96"/>
        <v>0.10692008028611238</v>
      </c>
      <c r="AR126">
        <f t="shared" si="96"/>
        <v>8.6912310205157287E-2</v>
      </c>
      <c r="AS126">
        <f t="shared" si="96"/>
        <v>6.7799961973663961E-2</v>
      </c>
      <c r="AT126">
        <f t="shared" si="96"/>
        <v>5.0757911601485309E-2</v>
      </c>
      <c r="AU126">
        <f t="shared" si="96"/>
        <v>3.646734773509256E-2</v>
      </c>
      <c r="AV126">
        <f t="shared" si="96"/>
        <v>2.514379053200598E-2</v>
      </c>
      <c r="AW126">
        <f t="shared" si="96"/>
        <v>1.6637323460791321E-2</v>
      </c>
      <c r="AX126">
        <f t="shared" si="96"/>
        <v>1.0564825030202929E-2</v>
      </c>
      <c r="AY126">
        <f t="shared" si="96"/>
        <v>6.4382419871285785E-3</v>
      </c>
      <c r="AZ126">
        <f t="shared" si="96"/>
        <v>3.7652899197618949E-3</v>
      </c>
      <c r="BA126">
        <f t="shared" si="96"/>
        <v>2.1132733959346606E-3</v>
      </c>
    </row>
    <row r="127" spans="1:53" hidden="1" x14ac:dyDescent="0.25">
      <c r="A127" s="1">
        <v>36</v>
      </c>
      <c r="B127" s="2">
        <f t="shared" si="81"/>
        <v>3.7016748130305794</v>
      </c>
      <c r="C127">
        <f t="shared" si="92"/>
        <v>1.2751781161106665E-12</v>
      </c>
      <c r="D127">
        <f t="shared" si="92"/>
        <v>5.3471195755492093E-12</v>
      </c>
      <c r="E127">
        <f t="shared" si="92"/>
        <v>2.1517661925174833E-11</v>
      </c>
      <c r="F127">
        <f t="shared" si="92"/>
        <v>8.3099115637633806E-11</v>
      </c>
      <c r="G127">
        <f t="shared" si="92"/>
        <v>3.0798095585655749E-10</v>
      </c>
      <c r="H127">
        <f t="shared" si="92"/>
        <v>1.0954119177416428E-9</v>
      </c>
      <c r="I127">
        <f t="shared" si="92"/>
        <v>3.7390149287141425E-9</v>
      </c>
      <c r="J127">
        <f t="shared" si="92"/>
        <v>1.2247940705238008E-8</v>
      </c>
      <c r="K127">
        <f t="shared" si="92"/>
        <v>3.8503046134547689E-8</v>
      </c>
      <c r="L127">
        <f t="shared" si="92"/>
        <v>1.1615910112772251E-7</v>
      </c>
      <c r="M127">
        <f t="shared" si="93"/>
        <v>3.363082600518695E-7</v>
      </c>
      <c r="N127">
        <f t="shared" si="93"/>
        <v>9.344325625495561E-7</v>
      </c>
      <c r="O127">
        <f t="shared" si="93"/>
        <v>2.4916356293652736E-6</v>
      </c>
      <c r="P127">
        <f t="shared" si="93"/>
        <v>6.3759843054226768E-6</v>
      </c>
      <c r="Q127">
        <f t="shared" si="93"/>
        <v>1.5657992645131399E-5</v>
      </c>
      <c r="R127">
        <f t="shared" si="93"/>
        <v>3.6902098909964868E-5</v>
      </c>
      <c r="S127">
        <f t="shared" si="93"/>
        <v>8.3462654060846033E-5</v>
      </c>
      <c r="T127">
        <f t="shared" si="93"/>
        <v>1.8115880685863332E-4</v>
      </c>
      <c r="U127">
        <f t="shared" si="93"/>
        <v>3.7735738262835216E-4</v>
      </c>
      <c r="V127">
        <f t="shared" si="93"/>
        <v>7.543491211515137E-4</v>
      </c>
      <c r="W127">
        <f t="shared" si="94"/>
        <v>1.4471650481765648E-3</v>
      </c>
      <c r="X127">
        <f t="shared" si="94"/>
        <v>2.6643414398264897E-3</v>
      </c>
      <c r="Y127">
        <f t="shared" si="94"/>
        <v>4.70747294619375E-3</v>
      </c>
      <c r="Z127">
        <f t="shared" si="94"/>
        <v>7.982003694516307E-3</v>
      </c>
      <c r="AA127">
        <f t="shared" si="94"/>
        <v>1.2988594384118523E-2</v>
      </c>
      <c r="AB127">
        <f t="shared" si="94"/>
        <v>2.0283295753204197E-2</v>
      </c>
      <c r="AC127">
        <f t="shared" si="94"/>
        <v>3.0397721398883634E-2</v>
      </c>
      <c r="AD127">
        <f t="shared" si="94"/>
        <v>4.3718945260152055E-2</v>
      </c>
      <c r="AE127">
        <f t="shared" si="94"/>
        <v>6.0342661283340961E-2</v>
      </c>
      <c r="AF127">
        <f t="shared" si="94"/>
        <v>7.9929184577159945E-2</v>
      </c>
      <c r="AG127">
        <f t="shared" si="95"/>
        <v>0.10160438311366157</v>
      </c>
      <c r="AH127">
        <f t="shared" si="95"/>
        <v>0.1239497464902372</v>
      </c>
      <c r="AI127">
        <f t="shared" si="95"/>
        <v>0.14511255232514464</v>
      </c>
      <c r="AJ127">
        <f t="shared" si="95"/>
        <v>0.16303860743265444</v>
      </c>
      <c r="AK127">
        <f t="shared" si="95"/>
        <v>0.17579320014454464</v>
      </c>
      <c r="AL127">
        <f t="shared" si="95"/>
        <v>0.18190298486075623</v>
      </c>
      <c r="AM127">
        <f t="shared" si="95"/>
        <v>0.18063575446306268</v>
      </c>
      <c r="AN127">
        <f t="shared" si="95"/>
        <v>0.17214473627169791</v>
      </c>
      <c r="AO127">
        <f t="shared" si="95"/>
        <v>0.15743812774188845</v>
      </c>
      <c r="AP127">
        <f t="shared" si="95"/>
        <v>0.13818223848303263</v>
      </c>
      <c r="AQ127">
        <f t="shared" si="96"/>
        <v>0.11639134035262634</v>
      </c>
      <c r="AR127">
        <f t="shared" si="96"/>
        <v>9.4083887459196533E-2</v>
      </c>
      <c r="AS127">
        <f t="shared" si="96"/>
        <v>7.2985397298102689E-2</v>
      </c>
      <c r="AT127">
        <f t="shared" si="96"/>
        <v>5.4335396134042424E-2</v>
      </c>
      <c r="AU127">
        <f t="shared" si="96"/>
        <v>3.8820027375313204E-2</v>
      </c>
      <c r="AV127">
        <f t="shared" si="96"/>
        <v>2.661674693431796E-2</v>
      </c>
      <c r="AW127">
        <f t="shared" si="96"/>
        <v>1.751379460112848E-2</v>
      </c>
      <c r="AX127">
        <f t="shared" si="96"/>
        <v>1.1059402574824731E-2</v>
      </c>
      <c r="AY127">
        <f t="shared" si="96"/>
        <v>6.7020740309473121E-3</v>
      </c>
      <c r="AZ127">
        <f t="shared" si="96"/>
        <v>3.8977404198835787E-3</v>
      </c>
      <c r="BA127">
        <f t="shared" si="96"/>
        <v>2.1754181283349357E-3</v>
      </c>
    </row>
    <row r="128" spans="1:53" hidden="1" x14ac:dyDescent="0.25">
      <c r="A128" s="1">
        <v>37</v>
      </c>
      <c r="B128" s="2">
        <f t="shared" si="81"/>
        <v>3.8928614809559772</v>
      </c>
      <c r="C128">
        <f t="shared" si="92"/>
        <v>1.6488038252041377E-12</v>
      </c>
      <c r="D128">
        <f t="shared" si="92"/>
        <v>6.875283295246126E-12</v>
      </c>
      <c r="E128">
        <f t="shared" si="92"/>
        <v>2.7513025329655865E-11</v>
      </c>
      <c r="F128">
        <f t="shared" si="92"/>
        <v>1.0566039661207075E-10</v>
      </c>
      <c r="G128">
        <f t="shared" si="92"/>
        <v>3.8941462997879574E-10</v>
      </c>
      <c r="H128">
        <f t="shared" si="92"/>
        <v>1.3773313383181969E-9</v>
      </c>
      <c r="I128">
        <f t="shared" si="92"/>
        <v>4.6750981507687704E-9</v>
      </c>
      <c r="J128">
        <f t="shared" si="92"/>
        <v>1.522892246297129E-8</v>
      </c>
      <c r="K128">
        <f t="shared" si="92"/>
        <v>4.760732245360636E-8</v>
      </c>
      <c r="L128">
        <f t="shared" si="92"/>
        <v>1.4282507994943767E-7</v>
      </c>
      <c r="M128">
        <f t="shared" si="93"/>
        <v>4.1120779028272162E-7</v>
      </c>
      <c r="N128">
        <f t="shared" si="93"/>
        <v>1.1361726483591677E-6</v>
      </c>
      <c r="O128">
        <f t="shared" si="93"/>
        <v>3.0126831949335317E-6</v>
      </c>
      <c r="P128">
        <f t="shared" si="93"/>
        <v>7.6663516868211843E-6</v>
      </c>
      <c r="Q128">
        <f t="shared" si="93"/>
        <v>1.8721909864407137E-5</v>
      </c>
      <c r="R128">
        <f t="shared" si="93"/>
        <v>4.3877078235112297E-5</v>
      </c>
      <c r="S128">
        <f t="shared" si="93"/>
        <v>9.8685055349644581E-5</v>
      </c>
      <c r="T128">
        <f t="shared" si="93"/>
        <v>2.1300569559007263E-4</v>
      </c>
      <c r="U128">
        <f t="shared" si="93"/>
        <v>4.4122202343049172E-4</v>
      </c>
      <c r="V128">
        <f t="shared" si="93"/>
        <v>8.7710035367085304E-4</v>
      </c>
      <c r="W128">
        <f t="shared" si="94"/>
        <v>1.6732757950940775E-3</v>
      </c>
      <c r="X128">
        <f t="shared" si="94"/>
        <v>3.0634578544969562E-3</v>
      </c>
      <c r="Y128">
        <f t="shared" si="94"/>
        <v>5.382480058798606E-3</v>
      </c>
      <c r="Z128">
        <f t="shared" si="94"/>
        <v>9.0756781803337256E-3</v>
      </c>
      <c r="AA128">
        <f t="shared" si="94"/>
        <v>1.4685944551534014E-2</v>
      </c>
      <c r="AB128">
        <f t="shared" si="94"/>
        <v>2.2806089229490283E-2</v>
      </c>
      <c r="AC128">
        <f t="shared" si="94"/>
        <v>3.3988022156200927E-2</v>
      </c>
      <c r="AD128">
        <f t="shared" si="94"/>
        <v>4.8610166057921227E-2</v>
      </c>
      <c r="AE128">
        <f t="shared" si="94"/>
        <v>6.6719756885039005E-2</v>
      </c>
      <c r="AF128">
        <f t="shared" si="94"/>
        <v>8.7883621317327298E-2</v>
      </c>
      <c r="AG128">
        <f t="shared" si="95"/>
        <v>0.11109322426289815</v>
      </c>
      <c r="AH128">
        <f t="shared" si="95"/>
        <v>0.13477003383190675</v>
      </c>
      <c r="AI128">
        <f t="shared" si="95"/>
        <v>0.15690083027634175</v>
      </c>
      <c r="AJ128">
        <f t="shared" si="95"/>
        <v>0.17530055239206094</v>
      </c>
      <c r="AK128">
        <f t="shared" si="95"/>
        <v>0.18796087839181519</v>
      </c>
      <c r="AL128">
        <f t="shared" si="95"/>
        <v>0.1934094926659006</v>
      </c>
      <c r="AM128">
        <f t="shared" si="95"/>
        <v>0.19099158990346299</v>
      </c>
      <c r="AN128">
        <f t="shared" si="95"/>
        <v>0.18099927728057691</v>
      </c>
      <c r="AO128">
        <f t="shared" si="95"/>
        <v>0.16461354815257315</v>
      </c>
      <c r="AP128">
        <f t="shared" si="95"/>
        <v>0.14367474986127379</v>
      </c>
      <c r="AQ128">
        <f t="shared" si="96"/>
        <v>0.12034317406677582</v>
      </c>
      <c r="AR128">
        <f t="shared" si="96"/>
        <v>9.6736108485152669E-2</v>
      </c>
      <c r="AS128">
        <f t="shared" si="96"/>
        <v>7.4624580312007513E-2</v>
      </c>
      <c r="AT128">
        <f t="shared" si="96"/>
        <v>5.5246062358259199E-2</v>
      </c>
      <c r="AU128">
        <f t="shared" si="96"/>
        <v>3.9250653815656122E-2</v>
      </c>
      <c r="AV128">
        <f t="shared" si="96"/>
        <v>2.6762002069285064E-2</v>
      </c>
      <c r="AW128">
        <f t="shared" si="96"/>
        <v>1.7511221561220477E-2</v>
      </c>
      <c r="AX128">
        <f t="shared" si="96"/>
        <v>1.0996144151797747E-2</v>
      </c>
      <c r="AY128">
        <f t="shared" si="96"/>
        <v>6.6265967704797184E-3</v>
      </c>
      <c r="AZ128">
        <f t="shared" si="96"/>
        <v>3.8323644508039532E-3</v>
      </c>
      <c r="BA128">
        <f t="shared" si="96"/>
        <v>2.1270083750217351E-3</v>
      </c>
    </row>
    <row r="129" spans="1:53" hidden="1" x14ac:dyDescent="0.25">
      <c r="A129" s="1">
        <v>38</v>
      </c>
      <c r="B129" s="2">
        <f t="shared" si="81"/>
        <v>4.0840481488813749</v>
      </c>
      <c r="C129">
        <f t="shared" si="92"/>
        <v>2.0249137093334006E-12</v>
      </c>
      <c r="D129">
        <f t="shared" si="92"/>
        <v>8.396546524810775E-12</v>
      </c>
      <c r="E129">
        <f t="shared" si="92"/>
        <v>3.341342657788727E-11</v>
      </c>
      <c r="F129">
        <f t="shared" si="92"/>
        <v>1.2760493487063176E-10</v>
      </c>
      <c r="G129">
        <f t="shared" si="92"/>
        <v>4.676705942918554E-10</v>
      </c>
      <c r="H129">
        <f t="shared" si="92"/>
        <v>1.6448973296895985E-9</v>
      </c>
      <c r="I129">
        <f t="shared" si="92"/>
        <v>5.5521816441539009E-9</v>
      </c>
      <c r="J129">
        <f t="shared" si="92"/>
        <v>1.7985175285526516E-8</v>
      </c>
      <c r="K129">
        <f t="shared" si="92"/>
        <v>5.591029995354623E-8</v>
      </c>
      <c r="L129">
        <f t="shared" si="92"/>
        <v>1.6679963964401426E-7</v>
      </c>
      <c r="M129">
        <f t="shared" si="93"/>
        <v>4.7755624901713579E-7</v>
      </c>
      <c r="N129">
        <f t="shared" si="93"/>
        <v>1.3121397588321571E-6</v>
      </c>
      <c r="O129">
        <f t="shared" si="93"/>
        <v>3.4598860555658532E-6</v>
      </c>
      <c r="P129">
        <f t="shared" si="93"/>
        <v>8.7552718647909774E-6</v>
      </c>
      <c r="Q129">
        <f t="shared" si="93"/>
        <v>2.1261975548121047E-5</v>
      </c>
      <c r="R129">
        <f t="shared" si="93"/>
        <v>4.9552290156303412E-5</v>
      </c>
      <c r="S129">
        <f t="shared" si="93"/>
        <v>1.1082812509230575E-4</v>
      </c>
      <c r="T129">
        <f t="shared" si="93"/>
        <v>2.3788243747568523E-4</v>
      </c>
      <c r="U129">
        <f t="shared" si="93"/>
        <v>4.9000545177797469E-4</v>
      </c>
      <c r="V129">
        <f t="shared" si="93"/>
        <v>9.6864710002403528E-4</v>
      </c>
      <c r="W129">
        <f t="shared" si="94"/>
        <v>1.8376228889180599E-3</v>
      </c>
      <c r="X129">
        <f t="shared" si="94"/>
        <v>3.3455947904994124E-3</v>
      </c>
      <c r="Y129">
        <f t="shared" si="94"/>
        <v>5.8454294767362885E-3</v>
      </c>
      <c r="Z129">
        <f t="shared" si="94"/>
        <v>9.8013444009352173E-3</v>
      </c>
      <c r="AA129">
        <f t="shared" si="94"/>
        <v>1.5771790976757825E-2</v>
      </c>
      <c r="AB129">
        <f t="shared" si="94"/>
        <v>2.4355806452503539E-2</v>
      </c>
      <c r="AC129">
        <f t="shared" si="94"/>
        <v>3.6095258311514798E-2</v>
      </c>
      <c r="AD129">
        <f t="shared" si="94"/>
        <v>5.1336225331865659E-2</v>
      </c>
      <c r="AE129">
        <f t="shared" si="94"/>
        <v>7.0068666027325421E-2</v>
      </c>
      <c r="AF129">
        <f t="shared" si="94"/>
        <v>9.1780391269610684E-2</v>
      </c>
      <c r="AG129">
        <f t="shared" si="95"/>
        <v>0.11537244559782901</v>
      </c>
      <c r="AH129">
        <f t="shared" si="95"/>
        <v>0.13918115332880054</v>
      </c>
      <c r="AI129">
        <f t="shared" si="95"/>
        <v>0.16113315168493772</v>
      </c>
      <c r="AJ129">
        <f t="shared" si="95"/>
        <v>0.17902575380330085</v>
      </c>
      <c r="AK129">
        <f t="shared" si="95"/>
        <v>0.19088520064311654</v>
      </c>
      <c r="AL129">
        <f t="shared" si="95"/>
        <v>0.19532379108258077</v>
      </c>
      <c r="AM129">
        <f t="shared" si="95"/>
        <v>0.19180687501464494</v>
      </c>
      <c r="AN129">
        <f t="shared" si="95"/>
        <v>0.1807587514556975</v>
      </c>
      <c r="AO129">
        <f t="shared" si="95"/>
        <v>0.1634784963741544</v>
      </c>
      <c r="AP129">
        <f t="shared" si="95"/>
        <v>0.14188878658146239</v>
      </c>
      <c r="AQ129">
        <f t="shared" si="96"/>
        <v>0.11818480780889386</v>
      </c>
      <c r="AR129">
        <f t="shared" si="96"/>
        <v>9.4471621668513528E-2</v>
      </c>
      <c r="AS129">
        <f t="shared" si="96"/>
        <v>7.247149592655959E-2</v>
      </c>
      <c r="AT129">
        <f t="shared" si="96"/>
        <v>5.3353046126368354E-2</v>
      </c>
      <c r="AU129">
        <f t="shared" si="96"/>
        <v>3.7694444930423635E-2</v>
      </c>
      <c r="AV129">
        <f t="shared" si="96"/>
        <v>2.5557691494154353E-2</v>
      </c>
      <c r="AW129">
        <f t="shared" si="96"/>
        <v>1.6629991718705016E-2</v>
      </c>
      <c r="AX129">
        <f t="shared" si="96"/>
        <v>1.0384571500234457E-2</v>
      </c>
      <c r="AY129">
        <f t="shared" si="96"/>
        <v>6.2231643031388055E-3</v>
      </c>
      <c r="AZ129">
        <f t="shared" si="96"/>
        <v>3.5789867636412198E-3</v>
      </c>
      <c r="BA129">
        <f t="shared" si="96"/>
        <v>1.9753090595852171E-3</v>
      </c>
    </row>
    <row r="130" spans="1:53" hidden="1" x14ac:dyDescent="0.25">
      <c r="A130" s="1">
        <v>39</v>
      </c>
      <c r="B130" s="2">
        <f t="shared" si="81"/>
        <v>4.2752348168067726</v>
      </c>
      <c r="C130">
        <f t="shared" si="92"/>
        <v>2.3620193665023305E-12</v>
      </c>
      <c r="D130">
        <f t="shared" si="92"/>
        <v>9.7398035779344141E-12</v>
      </c>
      <c r="E130">
        <f t="shared" si="92"/>
        <v>3.8542784030007497E-11</v>
      </c>
      <c r="F130">
        <f t="shared" si="92"/>
        <v>1.4637338046557273E-10</v>
      </c>
      <c r="G130">
        <f t="shared" si="92"/>
        <v>5.3346663569428704E-10</v>
      </c>
      <c r="H130">
        <f t="shared" si="92"/>
        <v>1.8658578804655481E-9</v>
      </c>
      <c r="I130">
        <f t="shared" si="92"/>
        <v>6.2629075074604642E-9</v>
      </c>
      <c r="J130">
        <f t="shared" si="92"/>
        <v>2.0174351032704993E-8</v>
      </c>
      <c r="K130">
        <f t="shared" si="92"/>
        <v>6.2366200565712568E-8</v>
      </c>
      <c r="L130">
        <f t="shared" si="92"/>
        <v>1.8502275327995384E-7</v>
      </c>
      <c r="M130">
        <f t="shared" si="93"/>
        <v>5.2677739467724321E-7</v>
      </c>
      <c r="N130">
        <f t="shared" si="93"/>
        <v>1.4393130372979899E-6</v>
      </c>
      <c r="O130">
        <f t="shared" si="93"/>
        <v>3.7740663145954625E-6</v>
      </c>
      <c r="P130">
        <f t="shared" si="93"/>
        <v>9.4970764299528858E-6</v>
      </c>
      <c r="Q130">
        <f t="shared" si="93"/>
        <v>2.2934880295255856E-5</v>
      </c>
      <c r="R130">
        <f t="shared" si="93"/>
        <v>5.3153168820311223E-5</v>
      </c>
      <c r="S130">
        <f t="shared" si="93"/>
        <v>1.1821919083977323E-4</v>
      </c>
      <c r="T130">
        <f t="shared" si="93"/>
        <v>2.5233235591795453E-4</v>
      </c>
      <c r="U130">
        <f t="shared" si="93"/>
        <v>5.1687323166330328E-4</v>
      </c>
      <c r="V130">
        <f t="shared" si="93"/>
        <v>1.0160645004090318E-3</v>
      </c>
      <c r="W130">
        <f t="shared" si="94"/>
        <v>1.9168346598378609E-3</v>
      </c>
      <c r="X130">
        <f t="shared" si="94"/>
        <v>3.4703571125009386E-3</v>
      </c>
      <c r="Y130">
        <f t="shared" si="94"/>
        <v>6.0296182956512054E-3</v>
      </c>
      <c r="Z130">
        <f t="shared" si="94"/>
        <v>1.0053831701467938E-2</v>
      </c>
      <c r="AA130">
        <f t="shared" si="94"/>
        <v>1.6087906752992126E-2</v>
      </c>
      <c r="AB130">
        <f t="shared" si="94"/>
        <v>2.4705497754485401E-2</v>
      </c>
      <c r="AC130">
        <f t="shared" si="94"/>
        <v>3.6409424521202091E-2</v>
      </c>
      <c r="AD130">
        <f t="shared" si="94"/>
        <v>5.1494418645311964E-2</v>
      </c>
      <c r="AE130">
        <f t="shared" si="94"/>
        <v>6.9892832756440232E-2</v>
      </c>
      <c r="AF130">
        <f t="shared" si="94"/>
        <v>9.1039793627609153E-2</v>
      </c>
      <c r="AG130">
        <f t="shared" si="95"/>
        <v>0.11380360637768931</v>
      </c>
      <c r="AH130">
        <f t="shared" si="95"/>
        <v>0.13652334596586993</v>
      </c>
      <c r="AI130">
        <f t="shared" si="95"/>
        <v>0.15717517798328495</v>
      </c>
      <c r="AJ130">
        <f t="shared" si="95"/>
        <v>0.17365493768811641</v>
      </c>
      <c r="AK130">
        <f t="shared" si="95"/>
        <v>0.18412656478587205</v>
      </c>
      <c r="AL130">
        <f t="shared" si="95"/>
        <v>0.18735785399857513</v>
      </c>
      <c r="AM130">
        <f t="shared" si="95"/>
        <v>0.1829588806037418</v>
      </c>
      <c r="AN130">
        <f t="shared" si="95"/>
        <v>0.17145937016666099</v>
      </c>
      <c r="AO130">
        <f t="shared" si="95"/>
        <v>0.15420380572035447</v>
      </c>
      <c r="AP130">
        <f t="shared" si="95"/>
        <v>0.13309296453266267</v>
      </c>
      <c r="AQ130">
        <f t="shared" si="96"/>
        <v>0.11024051762077355</v>
      </c>
      <c r="AR130">
        <f t="shared" si="96"/>
        <v>8.7630144383174721E-2</v>
      </c>
      <c r="AS130">
        <f t="shared" si="96"/>
        <v>6.684854349640218E-2</v>
      </c>
      <c r="AT130">
        <f t="shared" si="96"/>
        <v>4.8939159879723991E-2</v>
      </c>
      <c r="AU130">
        <f t="shared" si="96"/>
        <v>3.4383272456015287E-2</v>
      </c>
      <c r="AV130">
        <f t="shared" si="96"/>
        <v>2.3182701648635892E-2</v>
      </c>
      <c r="AW130">
        <f t="shared" si="96"/>
        <v>1.5000544441389404E-2</v>
      </c>
      <c r="AX130">
        <f t="shared" si="96"/>
        <v>9.3148558044840041E-3</v>
      </c>
      <c r="AY130">
        <f t="shared" si="96"/>
        <v>5.5510020687038527E-3</v>
      </c>
      <c r="AZ130">
        <f t="shared" si="96"/>
        <v>3.1746275477090241E-3</v>
      </c>
      <c r="BA130">
        <f t="shared" si="96"/>
        <v>1.7423697010356062E-3</v>
      </c>
    </row>
    <row r="131" spans="1:53" hidden="1" x14ac:dyDescent="0.25">
      <c r="A131" s="1">
        <v>40</v>
      </c>
      <c r="B131" s="2">
        <f t="shared" si="81"/>
        <v>4.4664214847321704</v>
      </c>
      <c r="C131">
        <f t="shared" si="92"/>
        <v>2.6169762820364235E-12</v>
      </c>
      <c r="D131">
        <f t="shared" si="92"/>
        <v>1.0730972884309192E-11</v>
      </c>
      <c r="E131">
        <f t="shared" si="92"/>
        <v>4.2228392235536081E-11</v>
      </c>
      <c r="F131">
        <f t="shared" si="92"/>
        <v>1.594762939682846E-10</v>
      </c>
      <c r="G131">
        <f t="shared" si="92"/>
        <v>5.7798139775592676E-10</v>
      </c>
      <c r="H131">
        <f t="shared" si="92"/>
        <v>2.010285433251098E-9</v>
      </c>
      <c r="I131">
        <f t="shared" si="92"/>
        <v>6.7100804783612904E-9</v>
      </c>
      <c r="J131">
        <f t="shared" si="92"/>
        <v>2.1494327943206579E-8</v>
      </c>
      <c r="K131">
        <f t="shared" si="92"/>
        <v>6.6076366126060519E-8</v>
      </c>
      <c r="L131">
        <f t="shared" si="92"/>
        <v>1.9493713081295807E-7</v>
      </c>
      <c r="M131">
        <f t="shared" si="93"/>
        <v>5.5191109759519002E-7</v>
      </c>
      <c r="N131">
        <f t="shared" si="93"/>
        <v>1.4995806312889085E-6</v>
      </c>
      <c r="O131">
        <f t="shared" si="93"/>
        <v>3.9101791580271138E-6</v>
      </c>
      <c r="P131">
        <f t="shared" si="93"/>
        <v>9.7847476383760453E-6</v>
      </c>
      <c r="Q131">
        <f t="shared" si="93"/>
        <v>2.3497883169397605E-5</v>
      </c>
      <c r="R131">
        <f t="shared" si="93"/>
        <v>5.4154430083917512E-5</v>
      </c>
      <c r="S131">
        <f t="shared" si="93"/>
        <v>1.1977477887327119E-4</v>
      </c>
      <c r="T131">
        <f t="shared" si="93"/>
        <v>2.5422772097282857E-4</v>
      </c>
      <c r="U131">
        <f t="shared" si="93"/>
        <v>5.1785308667729574E-4</v>
      </c>
      <c r="V131">
        <f t="shared" si="93"/>
        <v>1.0123166330620653E-3</v>
      </c>
      <c r="W131">
        <f t="shared" si="94"/>
        <v>1.8991195939972371E-3</v>
      </c>
      <c r="X131">
        <f t="shared" si="94"/>
        <v>3.4191204063095696E-3</v>
      </c>
      <c r="Y131">
        <f t="shared" si="94"/>
        <v>5.9074848138232208E-3</v>
      </c>
      <c r="Z131">
        <f t="shared" si="94"/>
        <v>9.795282623896201E-3</v>
      </c>
      <c r="AA131">
        <f t="shared" si="94"/>
        <v>1.5586818096553432E-2</v>
      </c>
      <c r="AB131">
        <f t="shared" si="94"/>
        <v>2.3802583721210236E-2</v>
      </c>
      <c r="AC131">
        <f t="shared" si="94"/>
        <v>3.4883244675423634E-2</v>
      </c>
      <c r="AD131">
        <f t="shared" si="94"/>
        <v>4.9060931015700734E-2</v>
      </c>
      <c r="AE131">
        <f t="shared" si="94"/>
        <v>6.6218728163358845E-2</v>
      </c>
      <c r="AF131">
        <f t="shared" si="94"/>
        <v>8.5773281071699028E-2</v>
      </c>
      <c r="AG131">
        <f t="shared" si="95"/>
        <v>0.10662262000059977</v>
      </c>
      <c r="AH131">
        <f t="shared" si="95"/>
        <v>0.12719581291446444</v>
      </c>
      <c r="AI131">
        <f t="shared" si="95"/>
        <v>0.14562046680555107</v>
      </c>
      <c r="AJ131">
        <f t="shared" si="95"/>
        <v>0.15999196081788375</v>
      </c>
      <c r="AK131">
        <f t="shared" si="95"/>
        <v>0.16869415749948452</v>
      </c>
      <c r="AL131">
        <f t="shared" si="95"/>
        <v>0.17069785379373381</v>
      </c>
      <c r="AM131">
        <f t="shared" si="95"/>
        <v>0.1657609466356576</v>
      </c>
      <c r="AN131">
        <f t="shared" si="95"/>
        <v>0.15447653318391519</v>
      </c>
      <c r="AO131">
        <f t="shared" si="95"/>
        <v>0.13815574490003726</v>
      </c>
      <c r="AP131">
        <f t="shared" si="95"/>
        <v>0.11857729031525634</v>
      </c>
      <c r="AQ131">
        <f t="shared" si="96"/>
        <v>9.7669785345235044E-2</v>
      </c>
      <c r="AR131">
        <f t="shared" si="96"/>
        <v>7.7204938824739458E-2</v>
      </c>
      <c r="AS131">
        <f t="shared" si="96"/>
        <v>5.8567417113809223E-2</v>
      </c>
      <c r="AT131">
        <f t="shared" si="96"/>
        <v>4.2637643933898503E-2</v>
      </c>
      <c r="AU131">
        <f t="shared" si="96"/>
        <v>2.9789036999448605E-2</v>
      </c>
      <c r="AV131">
        <f t="shared" si="96"/>
        <v>1.9973117995278719E-2</v>
      </c>
      <c r="AW131">
        <f t="shared" si="96"/>
        <v>1.2851724586624131E-2</v>
      </c>
      <c r="AX131">
        <f t="shared" si="96"/>
        <v>7.9360261613696786E-3</v>
      </c>
      <c r="AY131">
        <f t="shared" si="96"/>
        <v>4.7029559404741334E-3</v>
      </c>
      <c r="AZ131">
        <f t="shared" si="96"/>
        <v>2.6746371209991557E-3</v>
      </c>
      <c r="BA131">
        <f t="shared" si="96"/>
        <v>1.4597717812064048E-3</v>
      </c>
    </row>
    <row r="132" spans="1:53" hidden="1" x14ac:dyDescent="0.25">
      <c r="A132" s="1">
        <v>41</v>
      </c>
      <c r="B132" s="2">
        <f t="shared" si="81"/>
        <v>4.6576081526575672</v>
      </c>
      <c r="C132">
        <f t="shared" ref="C132:L142" si="97">SQRT($I$14*$J$14-$K$14^2)/PI()*EXP(-($I$14*((C$91-$C$14)^2)+2*$K$14*(C$91-$C$14)*($B132-$C$15)+$J$14*(($B132-$C$15)^2)))</f>
        <v>2.7539466204775238E-12</v>
      </c>
      <c r="D132">
        <f t="shared" si="97"/>
        <v>1.1229680377162336E-11</v>
      </c>
      <c r="E132">
        <f t="shared" si="97"/>
        <v>4.3944589422280302E-11</v>
      </c>
      <c r="F132">
        <f t="shared" si="97"/>
        <v>1.6503253297962859E-10</v>
      </c>
      <c r="G132">
        <f t="shared" si="97"/>
        <v>5.9478479556645033E-10</v>
      </c>
      <c r="H132">
        <f t="shared" si="97"/>
        <v>2.0571989281100779E-9</v>
      </c>
      <c r="I132">
        <f t="shared" si="97"/>
        <v>6.8283985121831798E-9</v>
      </c>
      <c r="J132">
        <f t="shared" si="97"/>
        <v>2.1751417640895291E-8</v>
      </c>
      <c r="K132">
        <f t="shared" si="97"/>
        <v>6.649399307409438E-8</v>
      </c>
      <c r="L132">
        <f t="shared" si="97"/>
        <v>1.9507580104490266E-7</v>
      </c>
      <c r="M132">
        <f t="shared" ref="M132:V142" si="98">SQRT($I$14*$J$14-$K$14^2)/PI()*EXP(-($I$14*((M$91-$C$14)^2)+2*$K$14*(M$91-$C$14)*($B132-$C$15)+$J$14*(($B132-$C$15)^2)))</f>
        <v>5.4922528454973433E-7</v>
      </c>
      <c r="N132">
        <f t="shared" si="98"/>
        <v>1.4839654324831489E-6</v>
      </c>
      <c r="O132">
        <f t="shared" si="98"/>
        <v>3.8478947562160756E-6</v>
      </c>
      <c r="P132">
        <f t="shared" si="98"/>
        <v>9.5752191855944933E-6</v>
      </c>
      <c r="Q132">
        <f t="shared" si="98"/>
        <v>2.2866537176891186E-5</v>
      </c>
      <c r="R132">
        <f t="shared" si="98"/>
        <v>5.2405662743413362E-5</v>
      </c>
      <c r="S132">
        <f t="shared" si="98"/>
        <v>1.1526094397001291E-4</v>
      </c>
      <c r="T132">
        <f t="shared" si="98"/>
        <v>2.4328328143374275E-4</v>
      </c>
      <c r="U132">
        <f t="shared" si="98"/>
        <v>4.9279750049835761E-4</v>
      </c>
      <c r="V132">
        <f t="shared" si="98"/>
        <v>9.5796770031390214E-4</v>
      </c>
      <c r="W132">
        <f t="shared" ref="W132:AF142" si="99">SQRT($I$14*$J$14-$K$14^2)/PI()*EXP(-($I$14*((W$91-$C$14)^2)+2*$K$14*(W$91-$C$14)*($B132-$C$15)+$J$14*(($B132-$C$15)^2)))</f>
        <v>1.7871432889891693E-3</v>
      </c>
      <c r="X132">
        <f t="shared" si="99"/>
        <v>3.1995877211262488E-3</v>
      </c>
      <c r="Y132">
        <f t="shared" si="99"/>
        <v>5.4973679577160249E-3</v>
      </c>
      <c r="Z132">
        <f t="shared" si="99"/>
        <v>9.0644556943063927E-3</v>
      </c>
      <c r="AA132">
        <f t="shared" si="99"/>
        <v>1.4343488607459706E-2</v>
      </c>
      <c r="AB132">
        <f t="shared" si="99"/>
        <v>2.1781811410032909E-2</v>
      </c>
      <c r="AC132">
        <f t="shared" si="99"/>
        <v>3.1743830590735059E-2</v>
      </c>
      <c r="AD132">
        <f t="shared" si="99"/>
        <v>4.4396712284959658E-2</v>
      </c>
      <c r="AE132">
        <f t="shared" si="99"/>
        <v>5.9589319599859192E-2</v>
      </c>
      <c r="AF132">
        <f t="shared" si="99"/>
        <v>7.6755972971948624E-2</v>
      </c>
      <c r="AG132">
        <f t="shared" ref="AG132:AP142" si="100">SQRT($I$14*$J$14-$K$14^2)/PI()*EXP(-($I$14*((AG$91-$C$14)^2)+2*$K$14*(AG$91-$C$14)*($B132-$C$15)+$J$14*(($B132-$C$15)^2)))</f>
        <v>9.488161632685907E-2</v>
      </c>
      <c r="AH132">
        <f t="shared" si="100"/>
        <v>0.11255845052067935</v>
      </c>
      <c r="AI132">
        <f t="shared" si="100"/>
        <v>0.12814459004530596</v>
      </c>
      <c r="AJ132">
        <f t="shared" si="100"/>
        <v>0.14000662434467012</v>
      </c>
      <c r="AK132">
        <f t="shared" si="100"/>
        <v>0.14679897784648738</v>
      </c>
      <c r="AL132">
        <f t="shared" si="100"/>
        <v>0.14771466610367373</v>
      </c>
      <c r="AM132">
        <f t="shared" si="100"/>
        <v>0.14264295958946177</v>
      </c>
      <c r="AN132">
        <f t="shared" si="100"/>
        <v>0.13219140044661778</v>
      </c>
      <c r="AO132">
        <f t="shared" si="100"/>
        <v>0.11756612513050141</v>
      </c>
      <c r="AP132">
        <f t="shared" si="100"/>
        <v>0.10034306070089519</v>
      </c>
      <c r="AQ132">
        <f t="shared" ref="AQ132:BA142" si="101">SQRT($I$14*$J$14-$K$14^2)/PI()*EXP(-($I$14*((AQ$91-$C$14)^2)+2*$K$14*(AQ$91-$C$14)*($B132-$C$15)+$J$14*(($B132-$C$15)^2)))</f>
        <v>8.2189932124287532E-2</v>
      </c>
      <c r="AR132">
        <f t="shared" si="101"/>
        <v>6.4606473817162058E-2</v>
      </c>
      <c r="AS132">
        <f t="shared" si="101"/>
        <v>4.8737089806612857E-2</v>
      </c>
      <c r="AT132">
        <f t="shared" si="101"/>
        <v>3.5283307227829311E-2</v>
      </c>
      <c r="AU132">
        <f t="shared" si="101"/>
        <v>2.451348840188701E-2</v>
      </c>
      <c r="AV132">
        <f t="shared" si="101"/>
        <v>1.634432872197962E-2</v>
      </c>
      <c r="AW132">
        <f t="shared" si="101"/>
        <v>1.0458157959792259E-2</v>
      </c>
      <c r="AX132">
        <f t="shared" si="101"/>
        <v>6.42198732900757E-3</v>
      </c>
      <c r="AY132">
        <f t="shared" si="101"/>
        <v>3.7845115067403181E-3</v>
      </c>
      <c r="AZ132">
        <f t="shared" si="101"/>
        <v>2.1403083914489848E-3</v>
      </c>
      <c r="BA132">
        <f t="shared" si="101"/>
        <v>1.1616332026841473E-3</v>
      </c>
    </row>
    <row r="133" spans="1:53" hidden="1" x14ac:dyDescent="0.25">
      <c r="A133" s="1">
        <v>42</v>
      </c>
      <c r="B133" s="2">
        <f t="shared" si="81"/>
        <v>4.848794820582965</v>
      </c>
      <c r="C133">
        <f t="shared" si="97"/>
        <v>2.7526478094659136E-12</v>
      </c>
      <c r="D133">
        <f t="shared" si="97"/>
        <v>1.1161821998495769E-11</v>
      </c>
      <c r="E133">
        <f t="shared" si="97"/>
        <v>4.3435584952711575E-11</v>
      </c>
      <c r="F133">
        <f t="shared" si="97"/>
        <v>1.622117819784008E-10</v>
      </c>
      <c r="G133">
        <f t="shared" si="97"/>
        <v>5.8136014354686439E-10</v>
      </c>
      <c r="H133">
        <f t="shared" si="97"/>
        <v>1.9995591329584178E-9</v>
      </c>
      <c r="I133">
        <f t="shared" si="97"/>
        <v>6.6000828642335734E-9</v>
      </c>
      <c r="J133">
        <f t="shared" si="97"/>
        <v>2.0906949139987375E-8</v>
      </c>
      <c r="K133">
        <f t="shared" si="97"/>
        <v>6.3556222358759271E-8</v>
      </c>
      <c r="L133">
        <f t="shared" si="97"/>
        <v>1.8541788688692164E-7</v>
      </c>
      <c r="M133">
        <f t="shared" si="98"/>
        <v>5.1912425080531532E-7</v>
      </c>
      <c r="N133">
        <f t="shared" si="98"/>
        <v>1.3948167235731137E-6</v>
      </c>
      <c r="O133">
        <f t="shared" si="98"/>
        <v>3.5965749309029459E-6</v>
      </c>
      <c r="P133">
        <f t="shared" si="98"/>
        <v>8.8999428575577357E-6</v>
      </c>
      <c r="Q133">
        <f t="shared" si="98"/>
        <v>2.1135448210817043E-5</v>
      </c>
      <c r="R133">
        <f t="shared" si="98"/>
        <v>4.8168358284157669E-5</v>
      </c>
      <c r="S133">
        <f t="shared" si="98"/>
        <v>1.0535092798216553E-4</v>
      </c>
      <c r="T133">
        <f t="shared" si="98"/>
        <v>2.2112661855643753E-4</v>
      </c>
      <c r="U133">
        <f t="shared" si="98"/>
        <v>4.4542011182279102E-4</v>
      </c>
      <c r="V133">
        <f t="shared" si="98"/>
        <v>8.6104283841781273E-4</v>
      </c>
      <c r="W133">
        <f t="shared" si="99"/>
        <v>1.597371140028226E-3</v>
      </c>
      <c r="X133">
        <f t="shared" si="99"/>
        <v>2.8438916555812814E-3</v>
      </c>
      <c r="Y133">
        <f t="shared" si="99"/>
        <v>4.8589944016463014E-3</v>
      </c>
      <c r="Z133">
        <f t="shared" si="99"/>
        <v>7.9672031100880419E-3</v>
      </c>
      <c r="AA133">
        <f t="shared" si="99"/>
        <v>1.2536939139283398E-2</v>
      </c>
      <c r="AB133">
        <f t="shared" si="99"/>
        <v>1.8932295949788305E-2</v>
      </c>
      <c r="AC133">
        <f t="shared" si="99"/>
        <v>2.7437288533953861E-2</v>
      </c>
      <c r="AD133">
        <f t="shared" si="99"/>
        <v>3.8159724843670979E-2</v>
      </c>
      <c r="AE133">
        <f t="shared" si="99"/>
        <v>5.0932549635279871E-2</v>
      </c>
      <c r="AF133">
        <f t="shared" si="99"/>
        <v>6.5239667381158051E-2</v>
      </c>
      <c r="AG133">
        <f t="shared" si="100"/>
        <v>8.0196275239916084E-2</v>
      </c>
      <c r="AH133">
        <f t="shared" si="100"/>
        <v>9.4606896430100229E-2</v>
      </c>
      <c r="AI133">
        <f t="shared" si="100"/>
        <v>0.10710692035654275</v>
      </c>
      <c r="AJ133">
        <f t="shared" si="100"/>
        <v>0.11636929606170567</v>
      </c>
      <c r="AK133">
        <f t="shared" si="100"/>
        <v>0.12133481174679134</v>
      </c>
      <c r="AL133">
        <f t="shared" si="100"/>
        <v>0.12141114995541143</v>
      </c>
      <c r="AM133">
        <f t="shared" si="100"/>
        <v>0.11658907669217736</v>
      </c>
      <c r="AN133">
        <f t="shared" si="100"/>
        <v>0.10744427800127851</v>
      </c>
      <c r="AO133">
        <f t="shared" si="100"/>
        <v>9.5024339426278831E-2</v>
      </c>
      <c r="AP133">
        <f t="shared" si="100"/>
        <v>8.0651521546759919E-2</v>
      </c>
      <c r="AQ133">
        <f t="shared" si="101"/>
        <v>6.5692593729347423E-2</v>
      </c>
      <c r="AR133">
        <f t="shared" si="101"/>
        <v>5.1350702837862472E-2</v>
      </c>
      <c r="AS133">
        <f t="shared" si="101"/>
        <v>3.8521439998045956E-2</v>
      </c>
      <c r="AT133">
        <f t="shared" si="101"/>
        <v>2.77322287082504E-2</v>
      </c>
      <c r="AU133">
        <f t="shared" si="101"/>
        <v>1.9159897058773859E-2</v>
      </c>
      <c r="AV133">
        <f t="shared" si="101"/>
        <v>1.2703626252403661E-2</v>
      </c>
      <c r="AW133">
        <f t="shared" si="101"/>
        <v>8.0832941548103013E-3</v>
      </c>
      <c r="AX133">
        <f t="shared" si="101"/>
        <v>4.9360005215259382E-3</v>
      </c>
      <c r="AY133">
        <f t="shared" si="101"/>
        <v>2.8925984492483062E-3</v>
      </c>
      <c r="AZ133">
        <f t="shared" si="101"/>
        <v>1.6267740636222536E-3</v>
      </c>
      <c r="BA133">
        <f t="shared" si="101"/>
        <v>8.7799586127049948E-4</v>
      </c>
    </row>
    <row r="134" spans="1:53" hidden="1" x14ac:dyDescent="0.25">
      <c r="A134" s="1">
        <v>43</v>
      </c>
      <c r="B134" s="2">
        <f t="shared" si="81"/>
        <v>5.0399814885083627</v>
      </c>
      <c r="C134">
        <f t="shared" si="97"/>
        <v>2.6132753880222108E-12</v>
      </c>
      <c r="D134">
        <f t="shared" si="97"/>
        <v>1.0537611631680492E-11</v>
      </c>
      <c r="E134">
        <f t="shared" si="97"/>
        <v>4.0777945119408501E-11</v>
      </c>
      <c r="F134">
        <f t="shared" si="97"/>
        <v>1.514379158798932E-10</v>
      </c>
      <c r="G134">
        <f t="shared" si="97"/>
        <v>5.3972191139976331E-10</v>
      </c>
      <c r="H134">
        <f t="shared" si="97"/>
        <v>1.8459996475897358E-9</v>
      </c>
      <c r="I134">
        <f t="shared" si="97"/>
        <v>6.0592562056948313E-9</v>
      </c>
      <c r="J134">
        <f t="shared" si="97"/>
        <v>1.9086801517353692E-8</v>
      </c>
      <c r="K134">
        <f t="shared" si="97"/>
        <v>5.7699644423843825E-8</v>
      </c>
      <c r="L134">
        <f t="shared" si="97"/>
        <v>1.6739375621123253E-7</v>
      </c>
      <c r="M134">
        <f t="shared" si="98"/>
        <v>4.6604892570022989E-7</v>
      </c>
      <c r="N134">
        <f t="shared" si="98"/>
        <v>1.2452309490443641E-6</v>
      </c>
      <c r="O134">
        <f t="shared" si="98"/>
        <v>3.19296706971291E-6</v>
      </c>
      <c r="P134">
        <f t="shared" si="98"/>
        <v>7.8571512138466449E-6</v>
      </c>
      <c r="Q134">
        <f t="shared" si="98"/>
        <v>1.8555041145742999E-5</v>
      </c>
      <c r="R134">
        <f t="shared" si="98"/>
        <v>4.2051827143712214E-5</v>
      </c>
      <c r="S134">
        <f t="shared" si="98"/>
        <v>9.1460581412825513E-5</v>
      </c>
      <c r="T134">
        <f t="shared" si="98"/>
        <v>1.9090143088798853E-4</v>
      </c>
      <c r="U134">
        <f t="shared" si="98"/>
        <v>3.8239354088787184E-4</v>
      </c>
      <c r="V134">
        <f t="shared" si="98"/>
        <v>7.3508582919922178E-4</v>
      </c>
      <c r="W134">
        <f t="shared" si="99"/>
        <v>1.3560999245859952E-3</v>
      </c>
      <c r="X134">
        <f t="shared" si="99"/>
        <v>2.4008856258809145E-3</v>
      </c>
      <c r="Y134">
        <f t="shared" si="99"/>
        <v>4.0792224551693089E-3</v>
      </c>
      <c r="Z134">
        <f t="shared" si="99"/>
        <v>6.6513445613985336E-3</v>
      </c>
      <c r="AA134">
        <f t="shared" si="99"/>
        <v>1.0408008575979066E-2</v>
      </c>
      <c r="AB134">
        <f t="shared" si="99"/>
        <v>1.5629747967239607E-2</v>
      </c>
      <c r="AC134">
        <f t="shared" si="99"/>
        <v>2.2524877981316034E-2</v>
      </c>
      <c r="AD134">
        <f t="shared" si="99"/>
        <v>3.1152941359053325E-2</v>
      </c>
      <c r="AE134">
        <f t="shared" si="99"/>
        <v>4.1348694925328722E-2</v>
      </c>
      <c r="AF134">
        <f t="shared" si="99"/>
        <v>5.2668468989682068E-2</v>
      </c>
      <c r="AG134">
        <f t="shared" si="100"/>
        <v>6.4382186247578438E-2</v>
      </c>
      <c r="AH134">
        <f t="shared" si="100"/>
        <v>7.5527808683541295E-2</v>
      </c>
      <c r="AI134">
        <f t="shared" si="100"/>
        <v>8.5030393219386241E-2</v>
      </c>
      <c r="AJ134">
        <f t="shared" si="100"/>
        <v>9.1868712264995794E-2</v>
      </c>
      <c r="AK134">
        <f t="shared" si="100"/>
        <v>9.5254874405164294E-2</v>
      </c>
      <c r="AL134">
        <f t="shared" si="100"/>
        <v>9.4783540498452362E-2</v>
      </c>
      <c r="AM134">
        <f t="shared" si="100"/>
        <v>9.051171291917659E-2</v>
      </c>
      <c r="AN134">
        <f t="shared" si="100"/>
        <v>8.2947400322874745E-2</v>
      </c>
      <c r="AO134">
        <f t="shared" si="100"/>
        <v>7.2950271578015244E-2</v>
      </c>
      <c r="AP134">
        <f t="shared" si="100"/>
        <v>6.1571138664033728E-2</v>
      </c>
      <c r="AQ134">
        <f t="shared" si="101"/>
        <v>4.9871633803602884E-2</v>
      </c>
      <c r="AR134">
        <f t="shared" si="101"/>
        <v>3.8766460041906502E-2</v>
      </c>
      <c r="AS134">
        <f t="shared" si="101"/>
        <v>2.8919103988544401E-2</v>
      </c>
      <c r="AT134">
        <f t="shared" si="101"/>
        <v>2.0703303994791138E-2</v>
      </c>
      <c r="AU134">
        <f t="shared" si="101"/>
        <v>1.4223963321389674E-2</v>
      </c>
      <c r="AV134">
        <f t="shared" si="101"/>
        <v>9.3783778629571105E-3</v>
      </c>
      <c r="AW134">
        <f t="shared" si="101"/>
        <v>5.9341834559824757E-3</v>
      </c>
      <c r="AX134">
        <f t="shared" si="101"/>
        <v>3.6034653348743363E-3</v>
      </c>
      <c r="AY134">
        <f t="shared" si="101"/>
        <v>2.099935072536641E-3</v>
      </c>
      <c r="AZ134">
        <f t="shared" si="101"/>
        <v>1.1744040063082931E-3</v>
      </c>
      <c r="BA134">
        <f t="shared" si="101"/>
        <v>6.3031162878306678E-4</v>
      </c>
    </row>
    <row r="135" spans="1:53" hidden="1" x14ac:dyDescent="0.25">
      <c r="A135" s="1">
        <v>44</v>
      </c>
      <c r="B135" s="2">
        <f t="shared" si="81"/>
        <v>5.2311681564337595</v>
      </c>
      <c r="C135">
        <f t="shared" si="97"/>
        <v>2.3564547625467265E-12</v>
      </c>
      <c r="D135">
        <f t="shared" si="97"/>
        <v>9.4490616708039574E-12</v>
      </c>
      <c r="E135">
        <f t="shared" si="97"/>
        <v>3.6361718350188981E-11</v>
      </c>
      <c r="F135">
        <f t="shared" si="97"/>
        <v>1.342846130547046E-10</v>
      </c>
      <c r="G135">
        <f t="shared" si="97"/>
        <v>4.7592031577826002E-10</v>
      </c>
      <c r="H135">
        <f t="shared" si="97"/>
        <v>1.6187074836312292E-9</v>
      </c>
      <c r="I135">
        <f t="shared" si="97"/>
        <v>5.2835843304035671E-9</v>
      </c>
      <c r="J135">
        <f t="shared" si="97"/>
        <v>1.6550649858665814E-8</v>
      </c>
      <c r="K135">
        <f t="shared" si="97"/>
        <v>4.9753953606130012E-8</v>
      </c>
      <c r="L135">
        <f t="shared" si="97"/>
        <v>1.4353779858658446E-7</v>
      </c>
      <c r="M135">
        <f t="shared" si="98"/>
        <v>3.9740296599241181E-7</v>
      </c>
      <c r="N135">
        <f t="shared" si="98"/>
        <v>1.0558982387154109E-6</v>
      </c>
      <c r="O135">
        <f t="shared" si="98"/>
        <v>2.692397417240784E-6</v>
      </c>
      <c r="P135">
        <f t="shared" si="98"/>
        <v>6.5884370924036872E-6</v>
      </c>
      <c r="Q135">
        <f t="shared" si="98"/>
        <v>1.547218965768702E-5</v>
      </c>
      <c r="R135">
        <f t="shared" si="98"/>
        <v>3.4869626504770393E-5</v>
      </c>
      <c r="S135">
        <f t="shared" si="98"/>
        <v>7.5416947318145936E-5</v>
      </c>
      <c r="T135">
        <f t="shared" si="98"/>
        <v>1.5653690452608758E-4</v>
      </c>
      <c r="U135">
        <f t="shared" si="98"/>
        <v>3.1181045443214977E-4</v>
      </c>
      <c r="V135">
        <f t="shared" si="98"/>
        <v>5.9606104704802449E-4</v>
      </c>
      <c r="W135">
        <f t="shared" si="99"/>
        <v>1.0934953711597289E-3</v>
      </c>
      <c r="X135">
        <f t="shared" si="99"/>
        <v>1.9251709293832909E-3</v>
      </c>
      <c r="Y135">
        <f t="shared" si="99"/>
        <v>3.2527282358904312E-3</v>
      </c>
      <c r="Z135">
        <f t="shared" si="99"/>
        <v>5.2741490953002396E-3</v>
      </c>
      <c r="AA135">
        <f t="shared" si="99"/>
        <v>8.2069760164575779E-3</v>
      </c>
      <c r="AB135">
        <f t="shared" si="99"/>
        <v>1.2255754822798167E-2</v>
      </c>
      <c r="AC135">
        <f t="shared" si="99"/>
        <v>1.7563986829615571E-2</v>
      </c>
      <c r="AD135">
        <f t="shared" si="99"/>
        <v>2.4156403747282874E-2</v>
      </c>
      <c r="AE135">
        <f t="shared" si="99"/>
        <v>3.1883617854154084E-2</v>
      </c>
      <c r="AF135">
        <f t="shared" si="99"/>
        <v>4.0385833373986241E-2</v>
      </c>
      <c r="AG135">
        <f t="shared" si="100"/>
        <v>4.9092668735890334E-2</v>
      </c>
      <c r="AH135">
        <f t="shared" si="100"/>
        <v>5.7270420567183379E-2</v>
      </c>
      <c r="AI135">
        <f t="shared" si="100"/>
        <v>6.4116564180385402E-2</v>
      </c>
      <c r="AJ135">
        <f t="shared" si="100"/>
        <v>6.8886837850803628E-2</v>
      </c>
      <c r="AK135">
        <f t="shared" si="100"/>
        <v>7.1027805352526646E-2</v>
      </c>
      <c r="AL135">
        <f t="shared" si="100"/>
        <v>7.0282415746206708E-2</v>
      </c>
      <c r="AM135">
        <f t="shared" si="100"/>
        <v>6.674075325258863E-2</v>
      </c>
      <c r="AN135">
        <f t="shared" si="100"/>
        <v>6.082213567243358E-2</v>
      </c>
      <c r="AO135">
        <f t="shared" si="100"/>
        <v>5.3193475391801345E-2</v>
      </c>
      <c r="AP135">
        <f t="shared" si="100"/>
        <v>4.4645861178650686E-2</v>
      </c>
      <c r="AQ135">
        <f t="shared" si="101"/>
        <v>3.5960869307604844E-2</v>
      </c>
      <c r="AR135">
        <f t="shared" si="101"/>
        <v>2.7797471737123297E-2</v>
      </c>
      <c r="AS135">
        <f t="shared" si="101"/>
        <v>2.0620849446320481E-2</v>
      </c>
      <c r="AT135">
        <f t="shared" si="101"/>
        <v>1.4680266648018367E-2</v>
      </c>
      <c r="AU135">
        <f t="shared" si="101"/>
        <v>1.0029689195534056E-2</v>
      </c>
      <c r="AV135">
        <f t="shared" si="101"/>
        <v>6.5760808597295113E-3</v>
      </c>
      <c r="AW135">
        <f t="shared" si="101"/>
        <v>4.1378329411432156E-3</v>
      </c>
      <c r="AX135">
        <f t="shared" si="101"/>
        <v>2.4986469672977287E-3</v>
      </c>
      <c r="AY135">
        <f t="shared" si="101"/>
        <v>1.4479814032867348E-3</v>
      </c>
      <c r="AZ135">
        <f t="shared" si="101"/>
        <v>8.0528054619392712E-4</v>
      </c>
      <c r="BA135">
        <f t="shared" si="101"/>
        <v>4.2979124998506195E-4</v>
      </c>
    </row>
    <row r="136" spans="1:53" hidden="1" x14ac:dyDescent="0.25">
      <c r="A136" s="1">
        <v>45</v>
      </c>
      <c r="B136" s="2">
        <f t="shared" si="81"/>
        <v>5.4223548243591582</v>
      </c>
      <c r="C136">
        <f t="shared" si="97"/>
        <v>2.0182382586838437E-12</v>
      </c>
      <c r="D136">
        <f t="shared" si="97"/>
        <v>8.047751869093534E-12</v>
      </c>
      <c r="E136">
        <f t="shared" si="97"/>
        <v>3.0796606157381127E-11</v>
      </c>
      <c r="F136">
        <f t="shared" si="97"/>
        <v>1.1309861302910648E-10</v>
      </c>
      <c r="G136">
        <f t="shared" si="97"/>
        <v>3.9860049847024428E-10</v>
      </c>
      <c r="H136">
        <f t="shared" si="97"/>
        <v>1.3481696136981384E-9</v>
      </c>
      <c r="I136">
        <f t="shared" si="97"/>
        <v>4.3760005686810304E-9</v>
      </c>
      <c r="J136">
        <f t="shared" si="97"/>
        <v>1.3631270737542214E-8</v>
      </c>
      <c r="K136">
        <f t="shared" si="97"/>
        <v>4.0749422279994402E-8</v>
      </c>
      <c r="L136">
        <f t="shared" si="97"/>
        <v>1.1690489785610843E-7</v>
      </c>
      <c r="M136">
        <f t="shared" si="98"/>
        <v>3.218622893855462E-7</v>
      </c>
      <c r="N136">
        <f t="shared" si="98"/>
        <v>8.5042031047089529E-7</v>
      </c>
      <c r="O136">
        <f t="shared" si="98"/>
        <v>2.1563700441973155E-6</v>
      </c>
      <c r="P136">
        <f t="shared" si="98"/>
        <v>5.2473386672257346E-6</v>
      </c>
      <c r="Q136">
        <f t="shared" si="98"/>
        <v>1.2254089218934417E-5</v>
      </c>
      <c r="R136">
        <f t="shared" si="98"/>
        <v>2.7463072264034398E-5</v>
      </c>
      <c r="S136">
        <f t="shared" si="98"/>
        <v>5.9066785942588618E-5</v>
      </c>
      <c r="T136">
        <f t="shared" si="98"/>
        <v>1.2191684025775659E-4</v>
      </c>
      <c r="U136">
        <f t="shared" si="98"/>
        <v>2.4149614113311901E-4</v>
      </c>
      <c r="V136">
        <f t="shared" si="98"/>
        <v>4.59074141923325E-4</v>
      </c>
      <c r="W136">
        <f t="shared" si="99"/>
        <v>8.3749380880777892E-4</v>
      </c>
      <c r="X136">
        <f t="shared" si="99"/>
        <v>1.466244910773412E-3</v>
      </c>
      <c r="Y136">
        <f t="shared" si="99"/>
        <v>2.4635283742913878E-3</v>
      </c>
      <c r="Z136">
        <f t="shared" si="99"/>
        <v>3.9722333947415211E-3</v>
      </c>
      <c r="AA136">
        <f t="shared" si="99"/>
        <v>6.1466443638509734E-3</v>
      </c>
      <c r="AB136">
        <f t="shared" si="99"/>
        <v>9.1278302016678768E-3</v>
      </c>
      <c r="AC136">
        <f t="shared" si="99"/>
        <v>1.3008378278344335E-2</v>
      </c>
      <c r="AD136">
        <f t="shared" si="99"/>
        <v>1.7791186034799771E-2</v>
      </c>
      <c r="AE136">
        <f t="shared" si="99"/>
        <v>2.3351392451579658E-2</v>
      </c>
      <c r="AF136">
        <f t="shared" si="99"/>
        <v>2.9413506608426458E-2</v>
      </c>
      <c r="AG136">
        <f t="shared" si="100"/>
        <v>3.555551405529625E-2</v>
      </c>
      <c r="AH136">
        <f t="shared" si="100"/>
        <v>4.1247084773571377E-2</v>
      </c>
      <c r="AI136">
        <f t="shared" si="100"/>
        <v>4.5920403449545719E-2</v>
      </c>
      <c r="AJ136">
        <f t="shared" si="100"/>
        <v>4.9061889422053154E-2</v>
      </c>
      <c r="AK136">
        <f t="shared" si="100"/>
        <v>5.0304748495342562E-2</v>
      </c>
      <c r="AL136">
        <f t="shared" si="100"/>
        <v>4.9499388433003076E-2</v>
      </c>
      <c r="AM136">
        <f t="shared" si="100"/>
        <v>4.6743025899453672E-2</v>
      </c>
      <c r="AN136">
        <f t="shared" si="100"/>
        <v>4.2360390117472266E-2</v>
      </c>
      <c r="AO136">
        <f t="shared" si="100"/>
        <v>3.6840814027678394E-2</v>
      </c>
      <c r="AP136">
        <f t="shared" si="100"/>
        <v>3.0748548734858945E-2</v>
      </c>
      <c r="AQ136">
        <f t="shared" si="101"/>
        <v>2.4628965275432898E-2</v>
      </c>
      <c r="AR136">
        <f t="shared" si="101"/>
        <v>1.893188459751044E-2</v>
      </c>
      <c r="AS136">
        <f t="shared" si="101"/>
        <v>1.3965859513338159E-2</v>
      </c>
      <c r="AT136">
        <f t="shared" si="101"/>
        <v>9.8870704348164255E-3</v>
      </c>
      <c r="AU136">
        <f t="shared" si="101"/>
        <v>6.7172842370753719E-3</v>
      </c>
      <c r="AV136">
        <f t="shared" si="101"/>
        <v>4.3797161176174085E-3</v>
      </c>
      <c r="AW136">
        <f t="shared" si="101"/>
        <v>2.7404654804702405E-3</v>
      </c>
      <c r="AX136">
        <f t="shared" si="101"/>
        <v>1.6456173172276474E-3</v>
      </c>
      <c r="AY136">
        <f t="shared" si="101"/>
        <v>9.4833002360184492E-4</v>
      </c>
      <c r="AZ136">
        <f t="shared" si="101"/>
        <v>5.2446473333442171E-4</v>
      </c>
      <c r="BA136">
        <f t="shared" si="101"/>
        <v>2.7835512288759511E-4</v>
      </c>
    </row>
    <row r="137" spans="1:53" hidden="1" x14ac:dyDescent="0.25">
      <c r="A137" s="1">
        <v>46</v>
      </c>
      <c r="B137" s="2">
        <f t="shared" si="81"/>
        <v>5.613541492284555</v>
      </c>
      <c r="C137">
        <f t="shared" si="97"/>
        <v>1.6418185618534111E-12</v>
      </c>
      <c r="D137">
        <f t="shared" si="97"/>
        <v>6.5102830471760625E-12</v>
      </c>
      <c r="E137">
        <f t="shared" si="97"/>
        <v>2.4774261573096642E-11</v>
      </c>
      <c r="F137">
        <f t="shared" si="97"/>
        <v>9.047481527228637E-11</v>
      </c>
      <c r="G137">
        <f t="shared" si="97"/>
        <v>3.1708874704903063E-10</v>
      </c>
      <c r="H137">
        <f t="shared" si="97"/>
        <v>1.066498117607419E-9</v>
      </c>
      <c r="I137">
        <f t="shared" si="97"/>
        <v>3.4424329897736139E-9</v>
      </c>
      <c r="J137">
        <f t="shared" si="97"/>
        <v>1.0663432773873073E-8</v>
      </c>
      <c r="K137">
        <f t="shared" si="97"/>
        <v>3.1699668026257941E-8</v>
      </c>
      <c r="L137">
        <f t="shared" si="97"/>
        <v>9.0435414059326487E-8</v>
      </c>
      <c r="M137">
        <f t="shared" si="98"/>
        <v>2.475987723720973E-7</v>
      </c>
      <c r="N137">
        <f t="shared" si="98"/>
        <v>6.5055584209621021E-7</v>
      </c>
      <c r="O137">
        <f t="shared" si="98"/>
        <v>1.640388869919003E-6</v>
      </c>
      <c r="P137">
        <f t="shared" si="98"/>
        <v>3.9694943220950814E-6</v>
      </c>
      <c r="Q137">
        <f t="shared" si="98"/>
        <v>9.2182757391076745E-6</v>
      </c>
      <c r="R137">
        <f t="shared" si="98"/>
        <v>2.054425243657139E-5</v>
      </c>
      <c r="S137">
        <f t="shared" si="98"/>
        <v>4.3939704243214865E-5</v>
      </c>
      <c r="T137">
        <f t="shared" si="98"/>
        <v>9.0188269604835118E-5</v>
      </c>
      <c r="U137">
        <f t="shared" si="98"/>
        <v>1.7765159782576903E-4</v>
      </c>
      <c r="V137">
        <f t="shared" si="98"/>
        <v>3.3582600257030942E-4</v>
      </c>
      <c r="W137">
        <f t="shared" si="99"/>
        <v>6.0923614362843269E-4</v>
      </c>
      <c r="X137">
        <f t="shared" si="99"/>
        <v>1.0606769702166496E-3</v>
      </c>
      <c r="Y137">
        <f t="shared" si="99"/>
        <v>1.7721756167773321E-3</v>
      </c>
      <c r="Z137">
        <f t="shared" si="99"/>
        <v>2.8415579198435336E-3</v>
      </c>
      <c r="AA137">
        <f t="shared" si="99"/>
        <v>4.3725260661709939E-3</v>
      </c>
      <c r="AB137">
        <f t="shared" si="99"/>
        <v>6.4570543212124146E-3</v>
      </c>
      <c r="AC137">
        <f t="shared" si="99"/>
        <v>9.1508747550727385E-3</v>
      </c>
      <c r="AD137">
        <f t="shared" si="99"/>
        <v>1.2445631020316126E-2</v>
      </c>
      <c r="AE137">
        <f t="shared" si="99"/>
        <v>1.6244164150237921E-2</v>
      </c>
      <c r="AF137">
        <f t="shared" si="99"/>
        <v>2.034716731168109E-2</v>
      </c>
      <c r="AG137">
        <f t="shared" si="100"/>
        <v>2.4458886486257672E-2</v>
      </c>
      <c r="AH137">
        <f t="shared" si="100"/>
        <v>2.821600640297571E-2</v>
      </c>
      <c r="AI137">
        <f t="shared" si="100"/>
        <v>3.1237807725410644E-2</v>
      </c>
      <c r="AJ137">
        <f t="shared" si="100"/>
        <v>3.3188810552837469E-2</v>
      </c>
      <c r="AK137">
        <f t="shared" si="100"/>
        <v>3.3839891916732021E-2</v>
      </c>
      <c r="AL137">
        <f t="shared" si="100"/>
        <v>3.3112531532923074E-2</v>
      </c>
      <c r="AM137">
        <f t="shared" si="100"/>
        <v>3.1094382812417661E-2</v>
      </c>
      <c r="AN137">
        <f t="shared" si="100"/>
        <v>2.8021903657011724E-2</v>
      </c>
      <c r="AO137">
        <f t="shared" si="100"/>
        <v>2.4234801597199086E-2</v>
      </c>
      <c r="AP137">
        <f t="shared" si="100"/>
        <v>2.0114416572063098E-2</v>
      </c>
      <c r="AQ137">
        <f t="shared" si="101"/>
        <v>1.60214400919882E-2</v>
      </c>
      <c r="AR137">
        <f t="shared" si="101"/>
        <v>1.2246776683713252E-2</v>
      </c>
      <c r="AS137">
        <f t="shared" si="101"/>
        <v>8.9839677789067644E-3</v>
      </c>
      <c r="AT137">
        <f t="shared" si="101"/>
        <v>6.3247113693003839E-3</v>
      </c>
      <c r="AU137">
        <f t="shared" si="101"/>
        <v>4.2730637785400767E-3</v>
      </c>
      <c r="AV137">
        <f t="shared" si="101"/>
        <v>2.7705384223829779E-3</v>
      </c>
      <c r="AW137">
        <f t="shared" si="101"/>
        <v>1.7239121013678668E-3</v>
      </c>
      <c r="AX137">
        <f t="shared" si="101"/>
        <v>1.0294190423836588E-3</v>
      </c>
      <c r="AY137">
        <f t="shared" si="101"/>
        <v>5.8992311769230589E-4</v>
      </c>
      <c r="AZ137">
        <f t="shared" si="101"/>
        <v>3.2443281274433802E-4</v>
      </c>
      <c r="BA137">
        <f t="shared" si="101"/>
        <v>1.7123016160599174E-4</v>
      </c>
    </row>
    <row r="138" spans="1:53" hidden="1" x14ac:dyDescent="0.25">
      <c r="A138" s="1">
        <v>47</v>
      </c>
      <c r="B138" s="2">
        <f t="shared" si="81"/>
        <v>5.8047281602099536</v>
      </c>
      <c r="C138">
        <f t="shared" si="97"/>
        <v>1.2685783261227172E-12</v>
      </c>
      <c r="D138">
        <f t="shared" si="97"/>
        <v>5.002240440998794E-12</v>
      </c>
      <c r="E138">
        <f t="shared" si="97"/>
        <v>1.8929449202420238E-11</v>
      </c>
      <c r="F138">
        <f t="shared" si="97"/>
        <v>6.8744432341068977E-11</v>
      </c>
      <c r="G138">
        <f t="shared" si="97"/>
        <v>2.3958698448646261E-10</v>
      </c>
      <c r="H138">
        <f t="shared" si="97"/>
        <v>8.0133673309631018E-10</v>
      </c>
      <c r="I138">
        <f t="shared" si="97"/>
        <v>2.5721306193605093E-9</v>
      </c>
      <c r="J138">
        <f t="shared" si="97"/>
        <v>7.9231362825314936E-9</v>
      </c>
      <c r="K138">
        <f t="shared" si="97"/>
        <v>2.3422183078401801E-8</v>
      </c>
      <c r="L138">
        <f t="shared" si="97"/>
        <v>6.6448281707647549E-8</v>
      </c>
      <c r="M138">
        <f t="shared" si="98"/>
        <v>1.8091154272827568E-7</v>
      </c>
      <c r="N138">
        <f t="shared" si="98"/>
        <v>4.7268839247334337E-7</v>
      </c>
      <c r="O138">
        <f t="shared" si="98"/>
        <v>1.1852493800166676E-6</v>
      </c>
      <c r="P138">
        <f t="shared" si="98"/>
        <v>2.8521389159458194E-6</v>
      </c>
      <c r="Q138">
        <f t="shared" si="98"/>
        <v>6.5865463213059552E-6</v>
      </c>
      <c r="R138">
        <f t="shared" si="98"/>
        <v>1.4597247275094732E-5</v>
      </c>
      <c r="S138">
        <f t="shared" si="98"/>
        <v>3.1046333471290533E-5</v>
      </c>
      <c r="T138">
        <f t="shared" si="98"/>
        <v>6.3368847622169414E-5</v>
      </c>
      <c r="U138">
        <f t="shared" si="98"/>
        <v>1.2412733733396328E-4</v>
      </c>
      <c r="V138">
        <f t="shared" si="98"/>
        <v>2.3333785855388407E-4</v>
      </c>
      <c r="W138">
        <f t="shared" si="99"/>
        <v>4.2094864387994777E-4</v>
      </c>
      <c r="X138">
        <f t="shared" si="99"/>
        <v>7.2878455498433074E-4</v>
      </c>
      <c r="Y138">
        <f t="shared" si="99"/>
        <v>1.2108639345961912E-3</v>
      </c>
      <c r="Z138">
        <f t="shared" si="99"/>
        <v>1.9307127577876115E-3</v>
      </c>
      <c r="AA138">
        <f t="shared" si="99"/>
        <v>2.9543784523522452E-3</v>
      </c>
      <c r="AB138">
        <f t="shared" si="99"/>
        <v>4.3385112349851535E-3</v>
      </c>
      <c r="AC138">
        <f t="shared" si="99"/>
        <v>6.1142256719752671E-3</v>
      </c>
      <c r="AD138">
        <f t="shared" si="99"/>
        <v>8.2692922421508629E-3</v>
      </c>
      <c r="AE138">
        <f t="shared" si="99"/>
        <v>1.0733005580610184E-2</v>
      </c>
      <c r="AF138">
        <f t="shared" si="99"/>
        <v>1.3369048794051991E-2</v>
      </c>
      <c r="AG138">
        <f t="shared" si="100"/>
        <v>1.5981068022010807E-2</v>
      </c>
      <c r="AH138">
        <f t="shared" si="100"/>
        <v>1.8333155841874921E-2</v>
      </c>
      <c r="AI138">
        <f t="shared" si="100"/>
        <v>2.0183421915703343E-2</v>
      </c>
      <c r="AJ138">
        <f t="shared" si="100"/>
        <v>2.132448276361865E-2</v>
      </c>
      <c r="AK138">
        <f t="shared" si="100"/>
        <v>2.1621626031940223E-2</v>
      </c>
      <c r="AL138">
        <f t="shared" si="100"/>
        <v>2.103896327703357E-2</v>
      </c>
      <c r="AM138">
        <f t="shared" si="100"/>
        <v>1.9646557249973867E-2</v>
      </c>
      <c r="AN138">
        <f t="shared" si="100"/>
        <v>1.7606568435020373E-2</v>
      </c>
      <c r="AO138">
        <f t="shared" si="100"/>
        <v>1.5142204898834648E-2</v>
      </c>
      <c r="AP138">
        <f t="shared" si="100"/>
        <v>1.2497687369706034E-2</v>
      </c>
      <c r="AQ138">
        <f t="shared" si="101"/>
        <v>9.8991141667177599E-3</v>
      </c>
      <c r="AR138">
        <f t="shared" si="101"/>
        <v>7.5246992735572968E-3</v>
      </c>
      <c r="AS138">
        <f t="shared" si="101"/>
        <v>5.4891879503403771E-3</v>
      </c>
      <c r="AT138">
        <f t="shared" si="101"/>
        <v>3.8428478803011761E-3</v>
      </c>
      <c r="AU138">
        <f t="shared" si="101"/>
        <v>2.5818108616461654E-3</v>
      </c>
      <c r="AV138">
        <f t="shared" si="101"/>
        <v>1.6646456198652299E-3</v>
      </c>
      <c r="AW138">
        <f t="shared" si="101"/>
        <v>1.0300191512638511E-3</v>
      </c>
      <c r="AX138">
        <f t="shared" si="101"/>
        <v>6.1163868433009667E-4</v>
      </c>
      <c r="AY138">
        <f t="shared" si="101"/>
        <v>3.4855452861010024E-4</v>
      </c>
      <c r="AZ138">
        <f t="shared" si="101"/>
        <v>1.9062183785817192E-4</v>
      </c>
      <c r="BA138">
        <f t="shared" si="101"/>
        <v>1.0004622670436723E-4</v>
      </c>
    </row>
    <row r="139" spans="1:53" hidden="1" x14ac:dyDescent="0.25">
      <c r="A139" s="1">
        <v>48</v>
      </c>
      <c r="B139" s="2">
        <f t="shared" si="81"/>
        <v>5.9959148281353505</v>
      </c>
      <c r="C139">
        <f t="shared" si="97"/>
        <v>9.3099813707011317E-13</v>
      </c>
      <c r="D139">
        <f t="shared" si="97"/>
        <v>3.65063702590504E-12</v>
      </c>
      <c r="E139">
        <f t="shared" si="97"/>
        <v>1.3737719195939756E-11</v>
      </c>
      <c r="F139">
        <f t="shared" si="97"/>
        <v>4.9612002192808921E-11</v>
      </c>
      <c r="G139">
        <f t="shared" si="97"/>
        <v>1.7194320272688215E-10</v>
      </c>
      <c r="H139">
        <f t="shared" si="97"/>
        <v>5.71885925130857E-10</v>
      </c>
      <c r="I139">
        <f t="shared" si="97"/>
        <v>1.8254079716233464E-9</v>
      </c>
      <c r="J139">
        <f t="shared" si="97"/>
        <v>5.5916066912567407E-9</v>
      </c>
      <c r="K139">
        <f t="shared" si="97"/>
        <v>1.6437638591230518E-8</v>
      </c>
      <c r="L139">
        <f t="shared" si="97"/>
        <v>4.6373340097531195E-8</v>
      </c>
      <c r="M139">
        <f t="shared" si="98"/>
        <v>1.2555195112168205E-7</v>
      </c>
      <c r="N139">
        <f t="shared" si="98"/>
        <v>3.2621557564831183E-7</v>
      </c>
      <c r="O139">
        <f t="shared" si="98"/>
        <v>8.1341477878451678E-7</v>
      </c>
      <c r="P139">
        <f t="shared" si="98"/>
        <v>1.9464603559350043E-6</v>
      </c>
      <c r="Q139">
        <f t="shared" si="98"/>
        <v>4.4699761429312624E-6</v>
      </c>
      <c r="R139">
        <f t="shared" si="98"/>
        <v>9.8512419625631594E-6</v>
      </c>
      <c r="S139">
        <f t="shared" si="98"/>
        <v>2.0835451003025547E-5</v>
      </c>
      <c r="T139">
        <f t="shared" si="98"/>
        <v>4.2290319236551063E-5</v>
      </c>
      <c r="U139">
        <f t="shared" si="98"/>
        <v>8.2376845997764951E-5</v>
      </c>
      <c r="V139">
        <f t="shared" si="98"/>
        <v>1.5399105513849574E-4</v>
      </c>
      <c r="W139">
        <f t="shared" si="99"/>
        <v>2.7625615829852414E-4</v>
      </c>
      <c r="X139">
        <f t="shared" si="99"/>
        <v>4.7561394527615553E-4</v>
      </c>
      <c r="Y139">
        <f t="shared" si="99"/>
        <v>7.8582045649585512E-4</v>
      </c>
      <c r="Z139">
        <f t="shared" si="99"/>
        <v>1.2460005067494416E-3</v>
      </c>
      <c r="AA139">
        <f t="shared" si="99"/>
        <v>1.8960039867195052E-3</v>
      </c>
      <c r="AB139">
        <f t="shared" si="99"/>
        <v>2.7687670114907334E-3</v>
      </c>
      <c r="AC139">
        <f t="shared" si="99"/>
        <v>3.8802500761188604E-3</v>
      </c>
      <c r="AD139">
        <f t="shared" si="99"/>
        <v>5.2186618702511059E-3</v>
      </c>
      <c r="AE139">
        <f t="shared" si="99"/>
        <v>6.7357310804682397E-3</v>
      </c>
      <c r="AF139">
        <f t="shared" si="99"/>
        <v>8.34327309976572E-3</v>
      </c>
      <c r="AG139">
        <f t="shared" si="100"/>
        <v>9.9177765122364162E-3</v>
      </c>
      <c r="AH139">
        <f t="shared" si="100"/>
        <v>1.1314055745568583E-2</v>
      </c>
      <c r="AI139">
        <f t="shared" si="100"/>
        <v>1.2386495502003495E-2</v>
      </c>
      <c r="AJ139">
        <f t="shared" si="100"/>
        <v>1.3013817821307594E-2</v>
      </c>
      <c r="AK139">
        <f t="shared" si="100"/>
        <v>1.3121610280644893E-2</v>
      </c>
      <c r="AL139">
        <f t="shared" si="100"/>
        <v>1.2696841124568857E-2</v>
      </c>
      <c r="AM139">
        <f t="shared" si="100"/>
        <v>1.1790449819683396E-2</v>
      </c>
      <c r="AN139">
        <f t="shared" si="100"/>
        <v>1.0507301680800898E-2</v>
      </c>
      <c r="AO139">
        <f t="shared" si="100"/>
        <v>8.9862431923355517E-3</v>
      </c>
      <c r="AP139">
        <f t="shared" si="100"/>
        <v>7.3754966825641411E-3</v>
      </c>
      <c r="AQ139">
        <f t="shared" si="101"/>
        <v>5.8093897599929382E-3</v>
      </c>
      <c r="AR139">
        <f t="shared" si="101"/>
        <v>4.3913281950073808E-3</v>
      </c>
      <c r="AS139">
        <f t="shared" si="101"/>
        <v>3.1855719312204171E-3</v>
      </c>
      <c r="AT139">
        <f t="shared" si="101"/>
        <v>2.2177116317717046E-3</v>
      </c>
      <c r="AU139">
        <f t="shared" si="101"/>
        <v>1.4816610733216112E-3</v>
      </c>
      <c r="AV139">
        <f t="shared" si="101"/>
        <v>9.4998950260542835E-4</v>
      </c>
      <c r="AW139">
        <f t="shared" si="101"/>
        <v>5.8454086793984579E-4</v>
      </c>
      <c r="AX139">
        <f t="shared" si="101"/>
        <v>3.4517321868207163E-4</v>
      </c>
      <c r="AY139">
        <f t="shared" si="101"/>
        <v>1.9560747317366067E-4</v>
      </c>
      <c r="AZ139">
        <f t="shared" si="101"/>
        <v>1.063799868069674E-4</v>
      </c>
      <c r="BA139">
        <f t="shared" si="101"/>
        <v>5.5521419332292982E-5</v>
      </c>
    </row>
    <row r="140" spans="1:53" hidden="1" x14ac:dyDescent="0.25">
      <c r="A140" s="1">
        <v>49</v>
      </c>
      <c r="B140" s="2">
        <f t="shared" si="81"/>
        <v>6.1871014960607491</v>
      </c>
      <c r="C140">
        <f t="shared" si="97"/>
        <v>6.489626999555208E-13</v>
      </c>
      <c r="D140">
        <f t="shared" si="97"/>
        <v>2.5305338118800325E-12</v>
      </c>
      <c r="E140">
        <f t="shared" si="97"/>
        <v>9.469579440774799E-12</v>
      </c>
      <c r="F140">
        <f t="shared" si="97"/>
        <v>3.4007552514851756E-11</v>
      </c>
      <c r="G140">
        <f t="shared" si="97"/>
        <v>1.1720501681311675E-10</v>
      </c>
      <c r="H140">
        <f t="shared" si="97"/>
        <v>3.8765301325310631E-10</v>
      </c>
      <c r="I140">
        <f t="shared" si="97"/>
        <v>1.2304565011138523E-9</v>
      </c>
      <c r="J140">
        <f t="shared" si="97"/>
        <v>3.7481374155837517E-9</v>
      </c>
      <c r="K140">
        <f t="shared" si="97"/>
        <v>1.0956980350391824E-8</v>
      </c>
      <c r="L140">
        <f t="shared" si="97"/>
        <v>3.0739188583667159E-8</v>
      </c>
      <c r="M140">
        <f t="shared" si="98"/>
        <v>8.2759918502237335E-8</v>
      </c>
      <c r="N140">
        <f t="shared" si="98"/>
        <v>2.1383256612568793E-7</v>
      </c>
      <c r="O140">
        <f t="shared" si="98"/>
        <v>5.3021716069235193E-7</v>
      </c>
      <c r="P140">
        <f t="shared" si="98"/>
        <v>1.2617108860303583E-6</v>
      </c>
      <c r="Q140">
        <f t="shared" si="98"/>
        <v>2.8813237502804325E-6</v>
      </c>
      <c r="R140">
        <f t="shared" si="98"/>
        <v>6.3146663194379222E-6</v>
      </c>
      <c r="S140">
        <f t="shared" si="98"/>
        <v>1.3281125858175358E-5</v>
      </c>
      <c r="T140">
        <f t="shared" si="98"/>
        <v>2.6806833482898998E-5</v>
      </c>
      <c r="U140">
        <f t="shared" si="98"/>
        <v>5.192569038110719E-5</v>
      </c>
      <c r="V140">
        <f t="shared" si="98"/>
        <v>9.6526193621242917E-5</v>
      </c>
      <c r="W140">
        <f t="shared" si="99"/>
        <v>1.722004255933269E-4</v>
      </c>
      <c r="X140">
        <f t="shared" si="99"/>
        <v>2.9481487939658741E-4</v>
      </c>
      <c r="Y140">
        <f t="shared" si="99"/>
        <v>4.843850330037783E-4</v>
      </c>
      <c r="Z140">
        <f t="shared" si="99"/>
        <v>7.6376221773455464E-4</v>
      </c>
      <c r="AA140">
        <f t="shared" si="99"/>
        <v>1.1557176991178822E-3</v>
      </c>
      <c r="AB140">
        <f t="shared" si="99"/>
        <v>1.6783073496014721E-3</v>
      </c>
      <c r="AC140">
        <f t="shared" si="99"/>
        <v>2.3389307685450739E-3</v>
      </c>
      <c r="AD140">
        <f t="shared" si="99"/>
        <v>3.1281630091715921E-3</v>
      </c>
      <c r="AE140">
        <f t="shared" si="99"/>
        <v>4.0150182503995591E-3</v>
      </c>
      <c r="AF140">
        <f t="shared" si="99"/>
        <v>4.9455182605875059E-3</v>
      </c>
      <c r="AG140">
        <f t="shared" si="100"/>
        <v>5.8460460805807857E-3</v>
      </c>
      <c r="AH140">
        <f t="shared" si="100"/>
        <v>6.6319126482079615E-3</v>
      </c>
      <c r="AI140">
        <f t="shared" si="100"/>
        <v>7.2200715065199568E-3</v>
      </c>
      <c r="AJ140">
        <f t="shared" si="100"/>
        <v>7.543455604587441E-3</v>
      </c>
      <c r="AK140">
        <f t="shared" si="100"/>
        <v>7.5635436425020922E-3</v>
      </c>
      <c r="AL140">
        <f t="shared" si="100"/>
        <v>7.2779058668473572E-3</v>
      </c>
      <c r="AM140">
        <f t="shared" si="100"/>
        <v>6.7206873067961418E-3</v>
      </c>
      <c r="AN140">
        <f t="shared" si="100"/>
        <v>5.9558956941377014E-3</v>
      </c>
      <c r="AO140">
        <f t="shared" si="100"/>
        <v>5.0653168355962938E-3</v>
      </c>
      <c r="AP140">
        <f t="shared" si="100"/>
        <v>4.1342076520510737E-3</v>
      </c>
      <c r="AQ140">
        <f t="shared" si="101"/>
        <v>3.2382031862631935E-3</v>
      </c>
      <c r="AR140">
        <f t="shared" si="101"/>
        <v>2.4341203294761787E-3</v>
      </c>
      <c r="AS140">
        <f t="shared" si="101"/>
        <v>1.7559256778109E-3</v>
      </c>
      <c r="AT140">
        <f t="shared" si="101"/>
        <v>1.2156158512710916E-3</v>
      </c>
      <c r="AU140">
        <f t="shared" si="101"/>
        <v>8.0763051133022593E-4</v>
      </c>
      <c r="AV140">
        <f t="shared" si="101"/>
        <v>5.14938329021862E-4</v>
      </c>
      <c r="AW140">
        <f t="shared" si="101"/>
        <v>3.1508219300654733E-4</v>
      </c>
      <c r="AX140">
        <f t="shared" si="101"/>
        <v>1.8501998362117556E-4</v>
      </c>
      <c r="AY140">
        <f t="shared" si="101"/>
        <v>1.042652419315539E-4</v>
      </c>
      <c r="AZ140">
        <f t="shared" si="101"/>
        <v>5.6387989586015488E-5</v>
      </c>
      <c r="BA140">
        <f t="shared" si="101"/>
        <v>2.9265759876672793E-5</v>
      </c>
    </row>
    <row r="141" spans="1:53" hidden="1" x14ac:dyDescent="0.25">
      <c r="A141" s="1">
        <v>50</v>
      </c>
      <c r="B141" s="2">
        <f t="shared" si="81"/>
        <v>6.378288163986146</v>
      </c>
      <c r="C141">
        <f t="shared" si="97"/>
        <v>4.2966507987647438E-13</v>
      </c>
      <c r="D141">
        <f t="shared" si="97"/>
        <v>1.6660768651120586E-12</v>
      </c>
      <c r="E141">
        <f t="shared" si="97"/>
        <v>6.1999208825941705E-12</v>
      </c>
      <c r="F141">
        <f t="shared" si="97"/>
        <v>2.2141314438000083E-11</v>
      </c>
      <c r="G141">
        <f t="shared" si="97"/>
        <v>7.5883401513131792E-11</v>
      </c>
      <c r="H141">
        <f t="shared" si="97"/>
        <v>2.4958375773364732E-10</v>
      </c>
      <c r="I141">
        <f t="shared" si="97"/>
        <v>7.8779276264223813E-10</v>
      </c>
      <c r="J141">
        <f t="shared" si="97"/>
        <v>2.3863480865891043E-9</v>
      </c>
      <c r="K141">
        <f t="shared" si="97"/>
        <v>6.9371604132253807E-9</v>
      </c>
      <c r="L141">
        <f t="shared" si="97"/>
        <v>1.9353335263066634E-8</v>
      </c>
      <c r="M141">
        <f t="shared" si="98"/>
        <v>5.1815064308382321E-8</v>
      </c>
      <c r="N141">
        <f t="shared" si="98"/>
        <v>1.3313198316190336E-7</v>
      </c>
      <c r="O141">
        <f t="shared" si="98"/>
        <v>3.2827280021519958E-7</v>
      </c>
      <c r="P141">
        <f t="shared" si="98"/>
        <v>7.7680772649556201E-7</v>
      </c>
      <c r="Q141">
        <f t="shared" si="98"/>
        <v>1.7640801450163969E-6</v>
      </c>
      <c r="R141">
        <f t="shared" si="98"/>
        <v>3.8445828628125531E-6</v>
      </c>
      <c r="S141">
        <f t="shared" si="98"/>
        <v>8.0409299375848949E-6</v>
      </c>
      <c r="T141">
        <f t="shared" si="98"/>
        <v>1.6139477426978328E-5</v>
      </c>
      <c r="U141">
        <f t="shared" si="98"/>
        <v>3.1088430556235553E-5</v>
      </c>
      <c r="V141">
        <f t="shared" si="98"/>
        <v>5.7469082777237235E-5</v>
      </c>
      <c r="W141">
        <f t="shared" si="99"/>
        <v>1.0195202866988929E-4</v>
      </c>
      <c r="X141">
        <f t="shared" si="99"/>
        <v>1.7357357823426456E-4</v>
      </c>
      <c r="Y141">
        <f t="shared" si="99"/>
        <v>2.8359430134488012E-4</v>
      </c>
      <c r="Z141">
        <f t="shared" si="99"/>
        <v>4.4466968351722884E-4</v>
      </c>
      <c r="AA141">
        <f t="shared" si="99"/>
        <v>6.691194920083269E-4</v>
      </c>
      <c r="AB141">
        <f t="shared" si="99"/>
        <v>9.662644018578443E-4</v>
      </c>
      <c r="AC141">
        <f t="shared" si="99"/>
        <v>1.3391043383316891E-3</v>
      </c>
      <c r="AD141">
        <f t="shared" si="99"/>
        <v>1.7809797953642612E-3</v>
      </c>
      <c r="AE141">
        <f t="shared" si="99"/>
        <v>2.2731584362939723E-3</v>
      </c>
      <c r="AF141">
        <f t="shared" si="99"/>
        <v>2.7843675201199899E-3</v>
      </c>
      <c r="AG141">
        <f t="shared" si="100"/>
        <v>3.2730267141072699E-3</v>
      </c>
      <c r="AH141">
        <f t="shared" si="100"/>
        <v>3.6923144457582341E-3</v>
      </c>
      <c r="AI141">
        <f t="shared" si="100"/>
        <v>3.9973663047890374E-3</v>
      </c>
      <c r="AJ141">
        <f t="shared" si="100"/>
        <v>4.1531283573892136E-3</v>
      </c>
      <c r="AK141">
        <f t="shared" si="100"/>
        <v>4.1409777650320088E-3</v>
      </c>
      <c r="AL141">
        <f t="shared" si="100"/>
        <v>3.9623841878835579E-3</v>
      </c>
      <c r="AM141">
        <f t="shared" si="100"/>
        <v>3.6386174981720767E-3</v>
      </c>
      <c r="AN141">
        <f t="shared" si="100"/>
        <v>3.2065821008191568E-3</v>
      </c>
      <c r="AO141">
        <f t="shared" si="100"/>
        <v>2.7119049435351652E-3</v>
      </c>
      <c r="AP141">
        <f t="shared" si="100"/>
        <v>2.2010641487977358E-3</v>
      </c>
      <c r="AQ141">
        <f t="shared" si="101"/>
        <v>1.7144194129677674E-3</v>
      </c>
      <c r="AR141">
        <f t="shared" si="101"/>
        <v>1.2815264963663793E-3</v>
      </c>
      <c r="AS141">
        <f t="shared" si="101"/>
        <v>9.1931478039853742E-4</v>
      </c>
      <c r="AT141">
        <f t="shared" si="101"/>
        <v>6.3288825141063576E-4</v>
      </c>
      <c r="AU141">
        <f t="shared" si="101"/>
        <v>4.181344624441617E-4</v>
      </c>
      <c r="AV141">
        <f t="shared" si="101"/>
        <v>2.6511300444784084E-4</v>
      </c>
      <c r="AW141">
        <f t="shared" si="101"/>
        <v>1.6131406604151161E-4</v>
      </c>
      <c r="AX141">
        <f t="shared" si="101"/>
        <v>9.4197544752285699E-5</v>
      </c>
      <c r="AY141">
        <f t="shared" si="101"/>
        <v>5.2787739717633949E-5</v>
      </c>
      <c r="AZ141">
        <f t="shared" si="101"/>
        <v>2.8389169554634837E-5</v>
      </c>
      <c r="BA141">
        <f t="shared" si="101"/>
        <v>1.4652051926787883E-5</v>
      </c>
    </row>
    <row r="142" spans="1:53" hidden="1" x14ac:dyDescent="0.25">
      <c r="A142" s="1">
        <v>51</v>
      </c>
      <c r="B142" s="2">
        <f t="shared" si="81"/>
        <v>6.5694748319115428</v>
      </c>
      <c r="C142">
        <f t="shared" si="97"/>
        <v>2.7019653834939955E-13</v>
      </c>
      <c r="D142">
        <f t="shared" si="97"/>
        <v>1.0418790905465127E-12</v>
      </c>
      <c r="E142">
        <f t="shared" si="97"/>
        <v>3.8555026174873391E-12</v>
      </c>
      <c r="F142">
        <f t="shared" si="97"/>
        <v>1.3692123912541178E-11</v>
      </c>
      <c r="G142">
        <f t="shared" si="97"/>
        <v>4.6664517297034593E-11</v>
      </c>
      <c r="H142">
        <f t="shared" si="97"/>
        <v>1.5262612328873883E-10</v>
      </c>
      <c r="I142">
        <f t="shared" si="97"/>
        <v>4.7906793895872665E-10</v>
      </c>
      <c r="J142">
        <f t="shared" si="97"/>
        <v>1.4430835616570108E-9</v>
      </c>
      <c r="K142">
        <f t="shared" si="97"/>
        <v>4.1716896364732275E-9</v>
      </c>
      <c r="L142">
        <f t="shared" si="97"/>
        <v>1.157333807921126E-8</v>
      </c>
      <c r="M142">
        <f t="shared" si="98"/>
        <v>3.0812818638041869E-8</v>
      </c>
      <c r="N142">
        <f t="shared" si="98"/>
        <v>7.8728205795128334E-8</v>
      </c>
      <c r="O142">
        <f t="shared" si="98"/>
        <v>1.9304360483014503E-7</v>
      </c>
      <c r="P142">
        <f t="shared" si="98"/>
        <v>4.5426222327239728E-7</v>
      </c>
      <c r="Q142">
        <f t="shared" si="98"/>
        <v>1.0258502387662301E-6</v>
      </c>
      <c r="R142">
        <f t="shared" si="98"/>
        <v>2.2232456134027133E-6</v>
      </c>
      <c r="S142">
        <f t="shared" si="98"/>
        <v>4.6239918804070809E-6</v>
      </c>
      <c r="T142">
        <f t="shared" si="98"/>
        <v>9.2293862157199964E-6</v>
      </c>
      <c r="U142">
        <f t="shared" si="98"/>
        <v>1.7678878685474969E-5</v>
      </c>
      <c r="V142">
        <f t="shared" si="98"/>
        <v>3.2498457617904053E-5</v>
      </c>
      <c r="W142">
        <f t="shared" si="99"/>
        <v>5.7331977583646395E-5</v>
      </c>
      <c r="X142">
        <f t="shared" si="99"/>
        <v>9.7063787429235832E-5</v>
      </c>
      <c r="Y142">
        <f t="shared" si="99"/>
        <v>1.5770435373857288E-4</v>
      </c>
      <c r="Z142">
        <f t="shared" si="99"/>
        <v>2.4589872170916182E-4</v>
      </c>
      <c r="AA142">
        <f t="shared" si="99"/>
        <v>3.6795524472193222E-4</v>
      </c>
      <c r="AB142">
        <f t="shared" si="99"/>
        <v>5.2839641524171416E-4</v>
      </c>
      <c r="AC142">
        <f t="shared" si="99"/>
        <v>7.28200321056719E-4</v>
      </c>
      <c r="AD142">
        <f t="shared" si="99"/>
        <v>9.6309251592312109E-4</v>
      </c>
      <c r="AE142">
        <f t="shared" si="99"/>
        <v>1.2223942220841815E-3</v>
      </c>
      <c r="AF142">
        <f t="shared" si="99"/>
        <v>1.488952033988763E-3</v>
      </c>
      <c r="AG142">
        <f t="shared" si="100"/>
        <v>1.7405089655657484E-3</v>
      </c>
      <c r="AH142">
        <f t="shared" si="100"/>
        <v>1.9525311023246505E-3</v>
      </c>
      <c r="AI142">
        <f t="shared" si="100"/>
        <v>2.1020633241923361E-3</v>
      </c>
      <c r="AJ142">
        <f t="shared" si="100"/>
        <v>2.1717996946085216E-3</v>
      </c>
      <c r="AK142">
        <f t="shared" si="100"/>
        <v>2.1533760525662632E-3</v>
      </c>
      <c r="AL142">
        <f t="shared" si="100"/>
        <v>2.0490196758767023E-3</v>
      </c>
      <c r="AM142">
        <f t="shared" si="100"/>
        <v>1.8711065411307448E-3</v>
      </c>
      <c r="AN142">
        <f t="shared" si="100"/>
        <v>1.6397477502639996E-3</v>
      </c>
      <c r="AO142">
        <f t="shared" si="100"/>
        <v>1.3790553864232262E-3</v>
      </c>
      <c r="AP142">
        <f t="shared" si="100"/>
        <v>1.113044460579034E-3</v>
      </c>
      <c r="AQ142">
        <f t="shared" si="101"/>
        <v>8.6212344313233412E-4</v>
      </c>
      <c r="AR142">
        <f t="shared" si="101"/>
        <v>6.4084431404390298E-4</v>
      </c>
      <c r="AS142">
        <f t="shared" si="101"/>
        <v>4.5715318982951183E-4</v>
      </c>
      <c r="AT142">
        <f t="shared" si="101"/>
        <v>3.1296596598203553E-4</v>
      </c>
      <c r="AU142">
        <f t="shared" si="101"/>
        <v>2.0561680572863674E-4</v>
      </c>
      <c r="AV142">
        <f t="shared" si="101"/>
        <v>1.2964215531063519E-4</v>
      </c>
      <c r="AW142">
        <f t="shared" si="101"/>
        <v>7.8444051403744471E-5</v>
      </c>
      <c r="AX142">
        <f t="shared" si="101"/>
        <v>4.5551210968775752E-5</v>
      </c>
      <c r="AY142">
        <f t="shared" si="101"/>
        <v>2.5384345899534601E-5</v>
      </c>
      <c r="AZ142">
        <f t="shared" si="101"/>
        <v>1.3575572876725561E-5</v>
      </c>
      <c r="BA142">
        <f t="shared" si="101"/>
        <v>6.9674922190559724E-6</v>
      </c>
    </row>
    <row r="146" spans="1:53" x14ac:dyDescent="0.25">
      <c r="A146" s="18" t="s">
        <v>28</v>
      </c>
      <c r="B146" s="18"/>
    </row>
    <row r="148" spans="1:53" x14ac:dyDescent="0.25">
      <c r="B148" s="7" t="s">
        <v>0</v>
      </c>
      <c r="C148" s="1">
        <v>1</v>
      </c>
      <c r="D148" s="1">
        <v>2</v>
      </c>
      <c r="E148" s="1">
        <v>3</v>
      </c>
      <c r="F148" s="1">
        <v>4</v>
      </c>
      <c r="G148" s="1">
        <v>5</v>
      </c>
      <c r="H148" s="1">
        <v>6</v>
      </c>
      <c r="I148" s="1">
        <v>7</v>
      </c>
      <c r="J148" s="1">
        <v>8</v>
      </c>
      <c r="K148" s="1">
        <v>9</v>
      </c>
      <c r="L148" s="1">
        <v>10</v>
      </c>
      <c r="M148" s="1">
        <v>11</v>
      </c>
      <c r="N148" s="1">
        <v>12</v>
      </c>
      <c r="O148" s="1">
        <v>13</v>
      </c>
      <c r="P148" s="1">
        <v>14</v>
      </c>
      <c r="Q148" s="1">
        <v>15</v>
      </c>
      <c r="R148" s="1">
        <v>16</v>
      </c>
      <c r="S148" s="1">
        <v>17</v>
      </c>
      <c r="T148" s="1">
        <v>18</v>
      </c>
      <c r="U148" s="1">
        <v>19</v>
      </c>
      <c r="V148" s="1">
        <v>20</v>
      </c>
      <c r="W148" s="1">
        <v>21</v>
      </c>
      <c r="X148" s="1">
        <v>22</v>
      </c>
      <c r="Y148" s="1">
        <v>23</v>
      </c>
      <c r="Z148" s="1">
        <v>24</v>
      </c>
      <c r="AA148" s="1">
        <v>25</v>
      </c>
      <c r="AB148" s="1">
        <v>26</v>
      </c>
      <c r="AC148" s="1">
        <v>27</v>
      </c>
      <c r="AD148" s="1">
        <v>28</v>
      </c>
      <c r="AE148" s="1">
        <v>29</v>
      </c>
      <c r="AF148" s="1">
        <v>30</v>
      </c>
      <c r="AG148" s="1">
        <v>31</v>
      </c>
      <c r="AH148" s="1">
        <v>32</v>
      </c>
      <c r="AI148" s="1">
        <v>33</v>
      </c>
      <c r="AJ148" s="1">
        <v>34</v>
      </c>
      <c r="AK148" s="1">
        <v>35</v>
      </c>
      <c r="AL148" s="1">
        <v>36</v>
      </c>
      <c r="AM148" s="1">
        <v>37</v>
      </c>
      <c r="AN148" s="1">
        <v>38</v>
      </c>
      <c r="AO148" s="1">
        <v>39</v>
      </c>
      <c r="AP148" s="1">
        <v>40</v>
      </c>
      <c r="AQ148" s="1">
        <v>41</v>
      </c>
      <c r="AR148" s="1">
        <v>42</v>
      </c>
      <c r="AS148" s="1">
        <v>43</v>
      </c>
      <c r="AT148" s="1">
        <v>44</v>
      </c>
      <c r="AU148" s="1">
        <v>45</v>
      </c>
      <c r="AV148" s="1">
        <v>46</v>
      </c>
      <c r="AW148" s="1">
        <v>47</v>
      </c>
      <c r="AX148" s="1">
        <v>48</v>
      </c>
      <c r="AY148" s="1">
        <v>49</v>
      </c>
      <c r="AZ148" s="1">
        <v>50</v>
      </c>
      <c r="BA148" s="1">
        <v>51</v>
      </c>
    </row>
    <row r="149" spans="1:53" x14ac:dyDescent="0.25">
      <c r="A149" s="7" t="s">
        <v>1</v>
      </c>
      <c r="C149" s="2">
        <f>$L$8</f>
        <v>-3.1588358347956675</v>
      </c>
      <c r="D149" s="2">
        <f>$C$33+$N$8*(D148-1)</f>
        <v>-2.9646168429217079</v>
      </c>
      <c r="E149" s="2">
        <f t="shared" ref="E149" si="102">$C$33+$N$8*(E148-1)</f>
        <v>-2.7703978510477483</v>
      </c>
      <c r="F149" s="2">
        <f t="shared" ref="F149" si="103">$C$33+$N$8*(F148-1)</f>
        <v>-2.5761788591737886</v>
      </c>
      <c r="G149" s="2">
        <f t="shared" ref="G149" si="104">$C$33+$N$8*(G148-1)</f>
        <v>-2.3819598672998286</v>
      </c>
      <c r="H149" s="2">
        <f t="shared" ref="H149" si="105">$C$33+$N$8*(H148-1)</f>
        <v>-2.1877408754258694</v>
      </c>
      <c r="I149" s="2">
        <f t="shared" ref="I149" si="106">$C$33+$N$8*(I148-1)</f>
        <v>-1.9935218835519093</v>
      </c>
      <c r="J149" s="2">
        <f t="shared" ref="J149" si="107">$C$33+$N$8*(J148-1)</f>
        <v>-1.7993028916779497</v>
      </c>
      <c r="K149" s="2">
        <f t="shared" ref="K149" si="108">$C$33+$N$8*(K148-1)</f>
        <v>-1.60508389980399</v>
      </c>
      <c r="L149" s="2">
        <f t="shared" ref="L149" si="109">$C$33+$N$8*(L148-1)</f>
        <v>-1.4108649079300304</v>
      </c>
      <c r="M149" s="2">
        <f t="shared" ref="M149" si="110">$C$33+$N$8*(M148-1)</f>
        <v>-1.2166459160560708</v>
      </c>
      <c r="N149" s="2">
        <f t="shared" ref="N149" si="111">$C$33+$N$8*(N148-1)</f>
        <v>-1.0224269241821111</v>
      </c>
      <c r="O149" s="2">
        <f t="shared" ref="O149" si="112">$C$33+$N$8*(O148-1)</f>
        <v>-0.82820793230815104</v>
      </c>
      <c r="P149" s="2">
        <f t="shared" ref="P149" si="113">$C$33+$N$8*(P148-1)</f>
        <v>-0.63398894043419141</v>
      </c>
      <c r="Q149" s="2">
        <f t="shared" ref="Q149" si="114">$C$33+$N$8*(Q148-1)</f>
        <v>-0.43976994856023177</v>
      </c>
      <c r="R149" s="2">
        <f t="shared" ref="R149" si="115">$C$33+$N$8*(R148-1)</f>
        <v>-0.24555095668627214</v>
      </c>
      <c r="S149" s="2">
        <f t="shared" ref="S149" si="116">$C$33+$N$8*(S148-1)</f>
        <v>-5.1331964812312503E-2</v>
      </c>
      <c r="T149" s="2">
        <f t="shared" ref="T149" si="117">$C$33+$N$8*(T148-1)</f>
        <v>0.14288702706164713</v>
      </c>
      <c r="U149" s="2">
        <f t="shared" ref="U149" si="118">$C$33+$N$8*(U148-1)</f>
        <v>0.33710601893560677</v>
      </c>
      <c r="V149" s="2">
        <f t="shared" ref="V149" si="119">$C$33+$N$8*(V148-1)</f>
        <v>0.5313250108095664</v>
      </c>
      <c r="W149" s="2">
        <f t="shared" ref="W149" si="120">$C$33+$N$8*(W148-1)</f>
        <v>0.72554400268352603</v>
      </c>
      <c r="X149" s="2">
        <f t="shared" ref="X149" si="121">$C$33+$N$8*(X148-1)</f>
        <v>0.91976299455748611</v>
      </c>
      <c r="Y149" s="2">
        <f t="shared" ref="Y149" si="122">$C$33+$N$8*(Y148-1)</f>
        <v>1.1139819864314453</v>
      </c>
      <c r="Z149" s="2">
        <f t="shared" ref="Z149" si="123">$C$33+$N$8*(Z148-1)</f>
        <v>1.3082009783054054</v>
      </c>
      <c r="AA149" s="2">
        <f t="shared" ref="AA149" si="124">$C$33+$N$8*(AA148-1)</f>
        <v>1.5024199701793655</v>
      </c>
      <c r="AB149" s="2">
        <f t="shared" ref="AB149" si="125">$C$33+$N$8*(AB148-1)</f>
        <v>1.6966389620533247</v>
      </c>
      <c r="AC149" s="2">
        <f t="shared" ref="AC149" si="126">$C$33+$N$8*(AC148-1)</f>
        <v>1.8908579539272847</v>
      </c>
      <c r="AD149" s="2">
        <f t="shared" ref="AD149" si="127">$C$33+$N$8*(AD148-1)</f>
        <v>2.0850769458012439</v>
      </c>
      <c r="AE149" s="2">
        <f t="shared" ref="AE149" si="128">$C$33+$N$8*(AE148-1)</f>
        <v>2.279295937675204</v>
      </c>
      <c r="AF149" s="2">
        <f t="shared" ref="AF149" si="129">$C$33+$N$8*(AF148-1)</f>
        <v>2.4735149295491632</v>
      </c>
      <c r="AG149" s="2">
        <f t="shared" ref="AG149" si="130">$C$33+$N$8*(AG148-1)</f>
        <v>2.6677339214231233</v>
      </c>
      <c r="AH149" s="2">
        <f t="shared" ref="AH149" si="131">$C$33+$N$8*(AH148-1)</f>
        <v>2.8619529132970825</v>
      </c>
      <c r="AI149" s="2">
        <f t="shared" ref="AI149" si="132">$C$33+$N$8*(AI148-1)</f>
        <v>3.0561719051710425</v>
      </c>
      <c r="AJ149" s="2">
        <f t="shared" ref="AJ149" si="133">$C$33+$N$8*(AJ148-1)</f>
        <v>3.2503908970450026</v>
      </c>
      <c r="AK149" s="2">
        <f t="shared" ref="AK149" si="134">$C$33+$N$8*(AK148-1)</f>
        <v>3.4446098889189618</v>
      </c>
      <c r="AL149" s="2">
        <f t="shared" ref="AL149" si="135">$C$33+$N$8*(AL148-1)</f>
        <v>3.6388288807929219</v>
      </c>
      <c r="AM149" s="2">
        <f t="shared" ref="AM149" si="136">$C$33+$N$8*(AM148-1)</f>
        <v>3.8330478726668811</v>
      </c>
      <c r="AN149" s="2">
        <f t="shared" ref="AN149" si="137">$C$33+$N$8*(AN148-1)</f>
        <v>4.0272668645408416</v>
      </c>
      <c r="AO149" s="2">
        <f t="shared" ref="AO149" si="138">$C$33+$N$8*(AO148-1)</f>
        <v>4.2214858564147999</v>
      </c>
      <c r="AP149" s="2">
        <f t="shared" ref="AP149" si="139">$C$33+$N$8*(AP148-1)</f>
        <v>4.41570484828876</v>
      </c>
      <c r="AQ149" s="2">
        <f t="shared" ref="AQ149" si="140">$C$33+$N$8*(AQ148-1)</f>
        <v>4.6099238401627201</v>
      </c>
      <c r="AR149" s="2">
        <f t="shared" ref="AR149" si="141">$C$33+$N$8*(AR148-1)</f>
        <v>4.8041428320366801</v>
      </c>
      <c r="AS149" s="2">
        <f t="shared" ref="AS149" si="142">$C$33+$N$8*(AS148-1)</f>
        <v>4.9983618239106402</v>
      </c>
      <c r="AT149" s="2">
        <f t="shared" ref="AT149" si="143">$C$33+$N$8*(AT148-1)</f>
        <v>5.1925808157846003</v>
      </c>
      <c r="AU149" s="2">
        <f t="shared" ref="AU149" si="144">$C$33+$N$8*(AU148-1)</f>
        <v>5.3867998076585586</v>
      </c>
      <c r="AV149" s="2">
        <f t="shared" ref="AV149" si="145">$C$33+$N$8*(AV148-1)</f>
        <v>5.5810187995325187</v>
      </c>
      <c r="AW149" s="2">
        <f t="shared" ref="AW149" si="146">$C$33+$N$8*(AW148-1)</f>
        <v>5.7752377914064787</v>
      </c>
      <c r="AX149" s="2">
        <f t="shared" ref="AX149" si="147">$C$33+$N$8*(AX148-1)</f>
        <v>5.9694567832804388</v>
      </c>
      <c r="AY149" s="2">
        <f t="shared" ref="AY149" si="148">$C$33+$N$8*(AY148-1)</f>
        <v>6.1636757751543989</v>
      </c>
      <c r="AZ149" s="2">
        <f t="shared" ref="AZ149" si="149">$C$33+$N$8*(AZ148-1)</f>
        <v>6.3578947670283572</v>
      </c>
      <c r="BA149" s="2">
        <f t="shared" ref="BA149" si="150">$C$33+$N$8*(BA148-1)</f>
        <v>6.5521137589023173</v>
      </c>
    </row>
    <row r="150" spans="1:53" x14ac:dyDescent="0.25">
      <c r="A150" s="1">
        <v>1</v>
      </c>
      <c r="B150" s="2">
        <f>$H$9</f>
        <v>-2.9898585643583351</v>
      </c>
      <c r="C150">
        <f>C34*$G$1+C92*$G$11</f>
        <v>3.2619406978473329E-5</v>
      </c>
      <c r="D150">
        <f t="shared" ref="D150:BA150" si="151">D34*$G$1+D92*$G$11</f>
        <v>5.0354076243934966E-5</v>
      </c>
      <c r="E150">
        <f t="shared" si="151"/>
        <v>7.5323895317901858E-5</v>
      </c>
      <c r="F150">
        <f t="shared" si="151"/>
        <v>1.0918688476940906E-4</v>
      </c>
      <c r="G150">
        <f t="shared" si="151"/>
        <v>1.5337258784346648E-4</v>
      </c>
      <c r="H150">
        <f t="shared" si="151"/>
        <v>2.0876831298976517E-4</v>
      </c>
      <c r="I150">
        <f t="shared" si="151"/>
        <v>2.7537276432085489E-4</v>
      </c>
      <c r="J150">
        <f t="shared" si="151"/>
        <v>3.519791618792241E-4</v>
      </c>
      <c r="K150">
        <f t="shared" si="151"/>
        <v>4.3596586606515597E-4</v>
      </c>
      <c r="L150">
        <f t="shared" si="151"/>
        <v>5.2327211065948318E-4</v>
      </c>
      <c r="M150">
        <f t="shared" si="151"/>
        <v>6.0861444428027939E-4</v>
      </c>
      <c r="N150">
        <f t="shared" si="151"/>
        <v>6.859563619281045E-4</v>
      </c>
      <c r="O150">
        <f t="shared" si="151"/>
        <v>7.4918709433121819E-4</v>
      </c>
      <c r="P150">
        <f t="shared" si="151"/>
        <v>7.9290955761835639E-4</v>
      </c>
      <c r="Q150">
        <f t="shared" si="151"/>
        <v>8.1319852872395926E-4</v>
      </c>
      <c r="R150">
        <f t="shared" si="151"/>
        <v>8.0818182924222485E-4</v>
      </c>
      <c r="S150">
        <f t="shared" si="151"/>
        <v>7.7832529585992213E-4</v>
      </c>
      <c r="T150">
        <f t="shared" si="151"/>
        <v>7.2636143036611473E-4</v>
      </c>
      <c r="U150">
        <f t="shared" si="151"/>
        <v>6.5687687204217884E-4</v>
      </c>
      <c r="V150">
        <f t="shared" si="151"/>
        <v>5.7564499511699417E-4</v>
      </c>
      <c r="W150">
        <f t="shared" si="151"/>
        <v>4.8883811552364264E-4</v>
      </c>
      <c r="X150">
        <f t="shared" si="151"/>
        <v>4.0226750834322059E-4</v>
      </c>
      <c r="Y150">
        <f t="shared" si="151"/>
        <v>3.2077788221952113E-4</v>
      </c>
      <c r="Z150">
        <f t="shared" si="151"/>
        <v>2.4787540815754183E-4</v>
      </c>
      <c r="AA150">
        <f t="shared" si="151"/>
        <v>1.8561028386963958E-4</v>
      </c>
      <c r="AB150">
        <f t="shared" si="151"/>
        <v>1.3468219745950256E-4</v>
      </c>
      <c r="AC150">
        <f t="shared" si="151"/>
        <v>9.4701731266233331E-5</v>
      </c>
      <c r="AD150">
        <f t="shared" si="151"/>
        <v>6.4527554975266915E-5</v>
      </c>
      <c r="AE150">
        <f t="shared" si="151"/>
        <v>4.2606127883354769E-5</v>
      </c>
      <c r="AF150">
        <f t="shared" si="151"/>
        <v>2.7260793297628813E-5</v>
      </c>
      <c r="AG150">
        <f t="shared" si="151"/>
        <v>1.6902248368502436E-5</v>
      </c>
      <c r="AH150">
        <f t="shared" si="151"/>
        <v>1.0155236328073861E-5</v>
      </c>
      <c r="AI150">
        <f t="shared" si="151"/>
        <v>5.9125544888689957E-6</v>
      </c>
      <c r="AJ150">
        <f t="shared" si="151"/>
        <v>3.3357987670210574E-6</v>
      </c>
      <c r="AK150">
        <f t="shared" si="151"/>
        <v>1.8237449302925107E-6</v>
      </c>
      <c r="AL150">
        <f t="shared" si="151"/>
        <v>9.6620196765269288E-7</v>
      </c>
      <c r="AM150">
        <f t="shared" si="151"/>
        <v>4.9603383784146532E-7</v>
      </c>
      <c r="AN150">
        <f t="shared" si="151"/>
        <v>2.4677107668798495E-7</v>
      </c>
      <c r="AO150">
        <f t="shared" si="151"/>
        <v>1.1896433315141742E-7</v>
      </c>
      <c r="AP150">
        <f t="shared" si="151"/>
        <v>5.5574921707883259E-8</v>
      </c>
      <c r="AQ150">
        <f t="shared" si="151"/>
        <v>2.5158254810450714E-8</v>
      </c>
      <c r="AR150">
        <f t="shared" si="151"/>
        <v>1.1036255118140389E-8</v>
      </c>
      <c r="AS150">
        <f t="shared" si="151"/>
        <v>4.6914006194479608E-9</v>
      </c>
      <c r="AT150">
        <f t="shared" si="151"/>
        <v>1.9325150495733923E-9</v>
      </c>
      <c r="AU150">
        <f t="shared" si="151"/>
        <v>7.7140567939600897E-10</v>
      </c>
      <c r="AV150">
        <f t="shared" si="151"/>
        <v>2.9838870672804483E-10</v>
      </c>
      <c r="AW150">
        <f t="shared" si="151"/>
        <v>1.118462880967974E-10</v>
      </c>
      <c r="AX150">
        <f t="shared" si="151"/>
        <v>4.0625666135560038E-11</v>
      </c>
      <c r="AY150">
        <f t="shared" si="151"/>
        <v>1.4299449233975838E-11</v>
      </c>
      <c r="AZ150">
        <f t="shared" si="151"/>
        <v>4.8772875618451108E-12</v>
      </c>
      <c r="BA150">
        <f t="shared" si="151"/>
        <v>1.6120493461012876E-12</v>
      </c>
    </row>
    <row r="151" spans="1:53" x14ac:dyDescent="0.25">
      <c r="A151" s="1">
        <v>2</v>
      </c>
      <c r="B151" s="2">
        <f>$B$34+$N$9*(A151-1)</f>
        <v>-2.7986718964329373</v>
      </c>
      <c r="C151">
        <f t="shared" ref="C151:BA151" si="152">C35*$G$1+C93*$G$11</f>
        <v>5.2160588856953144E-5</v>
      </c>
      <c r="D151">
        <f t="shared" si="152"/>
        <v>8.0977237627209367E-5</v>
      </c>
      <c r="E151">
        <f t="shared" si="152"/>
        <v>1.2182123436543988E-4</v>
      </c>
      <c r="F151">
        <f t="shared" si="152"/>
        <v>1.7759167358009603E-4</v>
      </c>
      <c r="G151">
        <f t="shared" si="152"/>
        <v>2.5087753293165252E-4</v>
      </c>
      <c r="H151">
        <f t="shared" si="152"/>
        <v>3.4343180050641978E-4</v>
      </c>
      <c r="I151">
        <f t="shared" si="152"/>
        <v>4.5557387282372754E-4</v>
      </c>
      <c r="J151">
        <f t="shared" si="152"/>
        <v>5.856210487618621E-4</v>
      </c>
      <c r="K151">
        <f t="shared" si="152"/>
        <v>7.2948121509531681E-4</v>
      </c>
      <c r="L151">
        <f t="shared" si="152"/>
        <v>8.8054410466057982E-4</v>
      </c>
      <c r="M151">
        <f t="shared" si="152"/>
        <v>1.0299773654002312E-3</v>
      </c>
      <c r="N151">
        <f t="shared" si="152"/>
        <v>1.1674648508068408E-3</v>
      </c>
      <c r="O151">
        <f t="shared" si="152"/>
        <v>1.2823291456053594E-3</v>
      </c>
      <c r="P151">
        <f t="shared" si="152"/>
        <v>1.3648809703492297E-3</v>
      </c>
      <c r="Q151">
        <f t="shared" si="152"/>
        <v>1.4077632065781932E-3</v>
      </c>
      <c r="R151">
        <f t="shared" si="152"/>
        <v>1.4070321077097011E-3</v>
      </c>
      <c r="S151">
        <f t="shared" si="152"/>
        <v>1.3627555884790678E-3</v>
      </c>
      <c r="T151">
        <f t="shared" si="152"/>
        <v>1.2790028186770949E-3</v>
      </c>
      <c r="U151">
        <f t="shared" si="152"/>
        <v>1.1632273305931589E-3</v>
      </c>
      <c r="V151">
        <f t="shared" si="152"/>
        <v>1.0251732362617984E-3</v>
      </c>
      <c r="W151">
        <f t="shared" si="152"/>
        <v>8.7552688778143534E-4</v>
      </c>
      <c r="X151">
        <f t="shared" si="152"/>
        <v>7.2457155786288287E-4</v>
      </c>
      <c r="Y151">
        <f t="shared" si="152"/>
        <v>5.8107560471634787E-4</v>
      </c>
      <c r="Z151">
        <f t="shared" si="152"/>
        <v>4.5156842738956955E-4</v>
      </c>
      <c r="AA151">
        <f t="shared" si="152"/>
        <v>3.4005883464212057E-4</v>
      </c>
      <c r="AB151">
        <f t="shared" si="152"/>
        <v>2.481556233675226E-4</v>
      </c>
      <c r="AC151">
        <f t="shared" si="152"/>
        <v>1.7548247296209069E-4</v>
      </c>
      <c r="AD151">
        <f t="shared" si="152"/>
        <v>1.2024940526558614E-4</v>
      </c>
      <c r="AE151">
        <f t="shared" si="152"/>
        <v>7.9849406834885564E-5</v>
      </c>
      <c r="AF151">
        <f t="shared" si="152"/>
        <v>5.1380700110020385E-5</v>
      </c>
      <c r="AG151">
        <f t="shared" si="152"/>
        <v>3.2038185166744399E-5</v>
      </c>
      <c r="AH151">
        <f t="shared" si="152"/>
        <v>1.935866313650948E-5</v>
      </c>
      <c r="AI151">
        <f t="shared" si="152"/>
        <v>1.1335022442946052E-5</v>
      </c>
      <c r="AJ151">
        <f t="shared" si="152"/>
        <v>6.4314511035417491E-6</v>
      </c>
      <c r="AK151">
        <f t="shared" si="152"/>
        <v>3.5361862093673408E-6</v>
      </c>
      <c r="AL151">
        <f t="shared" si="152"/>
        <v>1.8840865369096166E-6</v>
      </c>
      <c r="AM151">
        <f t="shared" si="152"/>
        <v>9.7276095983603419E-7</v>
      </c>
      <c r="AN151">
        <f t="shared" si="152"/>
        <v>4.8668838890593398E-7</v>
      </c>
      <c r="AO151">
        <f t="shared" si="152"/>
        <v>2.3595837930549773E-7</v>
      </c>
      <c r="AP151">
        <f t="shared" si="152"/>
        <v>1.108560477455286E-7</v>
      </c>
      <c r="AQ151">
        <f t="shared" si="152"/>
        <v>5.0468796209685065E-8</v>
      </c>
      <c r="AR151">
        <f t="shared" si="152"/>
        <v>2.2265172915572107E-8</v>
      </c>
      <c r="AS151">
        <f t="shared" si="152"/>
        <v>9.5185057357470423E-9</v>
      </c>
      <c r="AT151">
        <f t="shared" si="152"/>
        <v>3.9432205612034675E-9</v>
      </c>
      <c r="AU151">
        <f t="shared" si="152"/>
        <v>1.5829710790322039E-9</v>
      </c>
      <c r="AV151">
        <f t="shared" si="152"/>
        <v>6.1579273868842315E-10</v>
      </c>
      <c r="AW151">
        <f t="shared" si="152"/>
        <v>2.3213249180406435E-10</v>
      </c>
      <c r="AX151">
        <f t="shared" si="152"/>
        <v>8.4796381918208031E-11</v>
      </c>
      <c r="AY151">
        <f t="shared" si="152"/>
        <v>3.0016441043260858E-11</v>
      </c>
      <c r="AZ151">
        <f t="shared" si="152"/>
        <v>1.0296330936056492E-11</v>
      </c>
      <c r="BA151">
        <f t="shared" si="152"/>
        <v>3.4225440415797719E-12</v>
      </c>
    </row>
    <row r="152" spans="1:53" x14ac:dyDescent="0.25">
      <c r="A152" s="1">
        <v>3</v>
      </c>
      <c r="B152" s="2">
        <f t="shared" ref="B152:B200" si="153">$B$34+$N$9*(A152-1)</f>
        <v>-2.6074852285075401</v>
      </c>
      <c r="C152">
        <f t="shared" ref="C152:BA152" si="154">C36*$G$1+C94*$G$11</f>
        <v>8.0378931622228291E-5</v>
      </c>
      <c r="D152">
        <f t="shared" si="154"/>
        <v>1.2549447367073363E-4</v>
      </c>
      <c r="E152">
        <f t="shared" si="154"/>
        <v>1.8986571088407906E-4</v>
      </c>
      <c r="F152">
        <f t="shared" si="154"/>
        <v>2.7836077952033702E-4</v>
      </c>
      <c r="G152">
        <f t="shared" si="154"/>
        <v>3.9546596658462984E-4</v>
      </c>
      <c r="H152">
        <f t="shared" si="154"/>
        <v>5.4443965619424583E-4</v>
      </c>
      <c r="I152">
        <f t="shared" si="154"/>
        <v>7.2632326233951032E-4</v>
      </c>
      <c r="J152">
        <f t="shared" si="154"/>
        <v>9.3896568835059662E-4</v>
      </c>
      <c r="K152">
        <f t="shared" si="154"/>
        <v>1.1762755164975618E-3</v>
      </c>
      <c r="L152">
        <f t="shared" si="154"/>
        <v>1.4279334214518313E-3</v>
      </c>
      <c r="M152">
        <f t="shared" si="154"/>
        <v>1.6797568691618184E-3</v>
      </c>
      <c r="N152">
        <f t="shared" si="154"/>
        <v>1.9148045864487723E-3</v>
      </c>
      <c r="O152">
        <f t="shared" si="154"/>
        <v>2.1151543191418928E-3</v>
      </c>
      <c r="P152">
        <f t="shared" si="154"/>
        <v>2.2641188685216694E-3</v>
      </c>
      <c r="Q152">
        <f t="shared" si="154"/>
        <v>2.3485291534774454E-3</v>
      </c>
      <c r="R152">
        <f t="shared" si="154"/>
        <v>2.3606535436813516E-3</v>
      </c>
      <c r="S152">
        <f t="shared" si="154"/>
        <v>2.299366063769044E-3</v>
      </c>
      <c r="T152">
        <f t="shared" si="154"/>
        <v>2.1703188746161487E-3</v>
      </c>
      <c r="U152">
        <f t="shared" si="154"/>
        <v>1.9850824211289976E-3</v>
      </c>
      <c r="V152">
        <f t="shared" si="154"/>
        <v>1.7594345086383912E-3</v>
      </c>
      <c r="W152">
        <f t="shared" si="154"/>
        <v>1.5111488122076487E-3</v>
      </c>
      <c r="X152">
        <f t="shared" si="154"/>
        <v>1.2577112007484646E-3</v>
      </c>
      <c r="Y152">
        <f t="shared" si="154"/>
        <v>1.0143648446235142E-3</v>
      </c>
      <c r="Z152">
        <f t="shared" si="154"/>
        <v>7.9276965087168329E-4</v>
      </c>
      <c r="AA152">
        <f t="shared" si="154"/>
        <v>6.0039823768156207E-4</v>
      </c>
      <c r="AB152">
        <f t="shared" si="154"/>
        <v>4.4062726600854562E-4</v>
      </c>
      <c r="AC152">
        <f t="shared" si="154"/>
        <v>3.1335951969677106E-4</v>
      </c>
      <c r="AD152">
        <f t="shared" si="154"/>
        <v>2.1595038571237438E-4</v>
      </c>
      <c r="AE152">
        <f t="shared" si="154"/>
        <v>1.4421307638594924E-4</v>
      </c>
      <c r="AF152">
        <f t="shared" si="154"/>
        <v>9.3324326598665148E-5</v>
      </c>
      <c r="AG152">
        <f t="shared" si="154"/>
        <v>5.8522740417659204E-5</v>
      </c>
      <c r="AH152">
        <f t="shared" si="154"/>
        <v>3.5562641367439663E-5</v>
      </c>
      <c r="AI152">
        <f t="shared" si="154"/>
        <v>2.0941265934481669E-5</v>
      </c>
      <c r="AJ152">
        <f t="shared" si="154"/>
        <v>1.1949546399514088E-5</v>
      </c>
      <c r="AK152">
        <f t="shared" si="154"/>
        <v>6.6075350277515359E-6</v>
      </c>
      <c r="AL152">
        <f t="shared" si="154"/>
        <v>3.5405203462836478E-6</v>
      </c>
      <c r="AM152">
        <f t="shared" si="154"/>
        <v>1.8383757445161628E-6</v>
      </c>
      <c r="AN152">
        <f t="shared" si="154"/>
        <v>9.2499851375117702E-7</v>
      </c>
      <c r="AO152">
        <f t="shared" si="154"/>
        <v>4.5101123042430678E-7</v>
      </c>
      <c r="AP152">
        <f t="shared" si="154"/>
        <v>2.130949937126964E-7</v>
      </c>
      <c r="AQ152">
        <f t="shared" si="154"/>
        <v>9.756604732705697E-8</v>
      </c>
      <c r="AR152">
        <f t="shared" si="154"/>
        <v>4.3287624787820834E-8</v>
      </c>
      <c r="AS152">
        <f t="shared" si="154"/>
        <v>1.8610943962249782E-8</v>
      </c>
      <c r="AT152">
        <f t="shared" si="154"/>
        <v>7.7537658608458302E-9</v>
      </c>
      <c r="AU152">
        <f t="shared" si="154"/>
        <v>3.1303772326014664E-9</v>
      </c>
      <c r="AV152">
        <f t="shared" si="154"/>
        <v>1.2246741173566182E-9</v>
      </c>
      <c r="AW152">
        <f t="shared" si="154"/>
        <v>4.642849334524817E-10</v>
      </c>
      <c r="AX152">
        <f t="shared" si="154"/>
        <v>1.705648237824615E-10</v>
      </c>
      <c r="AY152">
        <f t="shared" si="154"/>
        <v>6.0720655473462836E-11</v>
      </c>
      <c r="AZ152">
        <f t="shared" si="154"/>
        <v>2.0947299490929071E-11</v>
      </c>
      <c r="BA152">
        <f t="shared" si="154"/>
        <v>7.0027581902820197E-12</v>
      </c>
    </row>
    <row r="153" spans="1:53" x14ac:dyDescent="0.25">
      <c r="A153" s="1">
        <v>4</v>
      </c>
      <c r="B153" s="2">
        <f t="shared" si="153"/>
        <v>-2.4162985605821423</v>
      </c>
      <c r="C153">
        <f t="shared" ref="C153:BA153" si="155">C37*$G$1+C95*$G$11</f>
        <v>1.1936453003040839E-4</v>
      </c>
      <c r="D153">
        <f t="shared" si="155"/>
        <v>1.8742156702267104E-4</v>
      </c>
      <c r="E153">
        <f t="shared" si="155"/>
        <v>2.8516971593610786E-4</v>
      </c>
      <c r="F153">
        <f t="shared" si="155"/>
        <v>4.2046205393249424E-4</v>
      </c>
      <c r="G153">
        <f t="shared" si="155"/>
        <v>6.0074446495665841E-4</v>
      </c>
      <c r="H153">
        <f t="shared" si="155"/>
        <v>8.3174905241422455E-4</v>
      </c>
      <c r="I153">
        <f t="shared" si="155"/>
        <v>1.1159234850693618E-3</v>
      </c>
      <c r="J153">
        <f t="shared" si="155"/>
        <v>1.4508285276421174E-3</v>
      </c>
      <c r="K153">
        <f t="shared" si="155"/>
        <v>1.8278363994003741E-3</v>
      </c>
      <c r="L153">
        <f t="shared" si="155"/>
        <v>2.2315063281805733E-3</v>
      </c>
      <c r="M153">
        <f t="shared" si="155"/>
        <v>2.6399669508210852E-3</v>
      </c>
      <c r="N153">
        <f t="shared" si="155"/>
        <v>3.0264842870932462E-3</v>
      </c>
      <c r="O153">
        <f t="shared" si="155"/>
        <v>3.3621564854692558E-3</v>
      </c>
      <c r="P153">
        <f t="shared" si="155"/>
        <v>3.6194033887944452E-3</v>
      </c>
      <c r="Q153">
        <f t="shared" si="155"/>
        <v>3.775683834050845E-3</v>
      </c>
      <c r="R153">
        <f t="shared" si="155"/>
        <v>3.8167509147816734E-3</v>
      </c>
      <c r="S153">
        <f t="shared" si="155"/>
        <v>3.7387943900433346E-3</v>
      </c>
      <c r="T153">
        <f t="shared" si="155"/>
        <v>3.5490238060580164E-3</v>
      </c>
      <c r="U153">
        <f t="shared" si="155"/>
        <v>3.2645686727756679E-3</v>
      </c>
      <c r="V153">
        <f t="shared" si="155"/>
        <v>2.9099281857082964E-3</v>
      </c>
      <c r="W153">
        <f t="shared" si="155"/>
        <v>2.5134965857509595E-3</v>
      </c>
      <c r="X153">
        <f t="shared" si="155"/>
        <v>2.1038457463705292E-3</v>
      </c>
      <c r="Y153">
        <f t="shared" si="155"/>
        <v>1.7064322684540354E-3</v>
      </c>
      <c r="Z153">
        <f t="shared" si="155"/>
        <v>1.3412316147962088E-3</v>
      </c>
      <c r="AA153">
        <f t="shared" si="155"/>
        <v>1.0215463462693963E-3</v>
      </c>
      <c r="AB153">
        <f t="shared" si="155"/>
        <v>7.5396629867999091E-4</v>
      </c>
      <c r="AC153">
        <f t="shared" si="155"/>
        <v>5.3924404665072628E-4</v>
      </c>
      <c r="AD153">
        <f t="shared" si="155"/>
        <v>3.7373033524591199E-4</v>
      </c>
      <c r="AE153">
        <f t="shared" si="155"/>
        <v>2.5099837389872356E-4</v>
      </c>
      <c r="AF153">
        <f t="shared" si="155"/>
        <v>1.6335146414323364E-4</v>
      </c>
      <c r="AG153">
        <f t="shared" si="155"/>
        <v>1.0301838118835758E-4</v>
      </c>
      <c r="AH153">
        <f t="shared" si="155"/>
        <v>6.2957282967493404E-5</v>
      </c>
      <c r="AI153">
        <f t="shared" si="155"/>
        <v>3.7283510634826546E-5</v>
      </c>
      <c r="AJ153">
        <f t="shared" si="155"/>
        <v>2.1395733864714834E-5</v>
      </c>
      <c r="AK153">
        <f t="shared" si="155"/>
        <v>1.1898087040729793E-5</v>
      </c>
      <c r="AL153">
        <f t="shared" si="155"/>
        <v>6.4116035800806193E-6</v>
      </c>
      <c r="AM153">
        <f t="shared" si="155"/>
        <v>3.3480794158405715E-6</v>
      </c>
      <c r="AN153">
        <f t="shared" si="155"/>
        <v>1.6941989456881729E-6</v>
      </c>
      <c r="AO153">
        <f t="shared" si="155"/>
        <v>8.3075436941322853E-7</v>
      </c>
      <c r="AP153">
        <f t="shared" si="155"/>
        <v>3.9474845351804324E-7</v>
      </c>
      <c r="AQ153">
        <f t="shared" si="155"/>
        <v>1.8176398179892727E-7</v>
      </c>
      <c r="AR153">
        <f t="shared" si="155"/>
        <v>8.1102609974152958E-8</v>
      </c>
      <c r="AS153">
        <f t="shared" si="155"/>
        <v>3.5067232731773958E-8</v>
      </c>
      <c r="AT153">
        <f t="shared" si="155"/>
        <v>1.4692913720277934E-8</v>
      </c>
      <c r="AU153">
        <f t="shared" si="155"/>
        <v>5.9656029325794881E-9</v>
      </c>
      <c r="AV153">
        <f t="shared" si="155"/>
        <v>2.3471517952313574E-9</v>
      </c>
      <c r="AW153">
        <f t="shared" si="155"/>
        <v>8.9488927666593914E-10</v>
      </c>
      <c r="AX153">
        <f t="shared" si="155"/>
        <v>3.3062863273677407E-10</v>
      </c>
      <c r="AY153">
        <f t="shared" si="155"/>
        <v>1.1837447439973613E-10</v>
      </c>
      <c r="AZ153">
        <f t="shared" si="155"/>
        <v>4.1070383264281655E-11</v>
      </c>
      <c r="BA153">
        <f t="shared" si="155"/>
        <v>1.380909855592244E-11</v>
      </c>
    </row>
    <row r="154" spans="1:53" x14ac:dyDescent="0.25">
      <c r="A154" s="1">
        <v>5</v>
      </c>
      <c r="B154" s="2">
        <f t="shared" si="153"/>
        <v>-2.225111892656745</v>
      </c>
      <c r="C154">
        <f t="shared" ref="C154:BA154" si="156">C38*$G$1+C96*$G$11</f>
        <v>1.7082116322734368E-4</v>
      </c>
      <c r="D154">
        <f t="shared" si="156"/>
        <v>2.6974154908663688E-4</v>
      </c>
      <c r="E154">
        <f t="shared" si="156"/>
        <v>4.1275618120102474E-4</v>
      </c>
      <c r="F154">
        <f t="shared" si="156"/>
        <v>6.1203870887391245E-4</v>
      </c>
      <c r="G154">
        <f t="shared" si="156"/>
        <v>8.7943503081126828E-4</v>
      </c>
      <c r="H154">
        <f t="shared" si="156"/>
        <v>1.2245265273555016E-3</v>
      </c>
      <c r="I154">
        <f t="shared" si="156"/>
        <v>1.6522364571355229E-3</v>
      </c>
      <c r="J154">
        <f t="shared" si="156"/>
        <v>2.1603084771874771E-3</v>
      </c>
      <c r="K154">
        <f t="shared" si="156"/>
        <v>2.7371519346296217E-3</v>
      </c>
      <c r="L154">
        <f t="shared" si="156"/>
        <v>3.3606370134904688E-3</v>
      </c>
      <c r="M154">
        <f t="shared" si="156"/>
        <v>3.9983782259768851E-3</v>
      </c>
      <c r="N154">
        <f t="shared" si="156"/>
        <v>4.609838463911285E-3</v>
      </c>
      <c r="O154">
        <f t="shared" si="156"/>
        <v>5.1502357238009215E-3</v>
      </c>
      <c r="P154">
        <f t="shared" si="156"/>
        <v>5.5758113647491857E-3</v>
      </c>
      <c r="Q154">
        <f t="shared" si="156"/>
        <v>5.8496327963117583E-3</v>
      </c>
      <c r="R154">
        <f t="shared" si="156"/>
        <v>5.9468735303537142E-3</v>
      </c>
      <c r="S154">
        <f t="shared" si="156"/>
        <v>5.8585260691579365E-3</v>
      </c>
      <c r="T154">
        <f t="shared" si="156"/>
        <v>5.59277820953249E-3</v>
      </c>
      <c r="U154">
        <f t="shared" si="156"/>
        <v>5.1737613650485069E-3</v>
      </c>
      <c r="V154">
        <f t="shared" si="156"/>
        <v>4.6379360480475846E-3</v>
      </c>
      <c r="W154">
        <f t="shared" si="156"/>
        <v>4.0288647153538561E-3</v>
      </c>
      <c r="X154">
        <f t="shared" si="156"/>
        <v>3.3914090852013769E-3</v>
      </c>
      <c r="Y154">
        <f t="shared" si="156"/>
        <v>2.7664144225990391E-3</v>
      </c>
      <c r="Z154">
        <f t="shared" si="156"/>
        <v>2.1867234742945704E-3</v>
      </c>
      <c r="AA154">
        <f t="shared" si="156"/>
        <v>1.6749816755666825E-3</v>
      </c>
      <c r="AB154">
        <f t="shared" si="156"/>
        <v>1.2432710452133853E-3</v>
      </c>
      <c r="AC154">
        <f t="shared" si="156"/>
        <v>8.9425452157972085E-4</v>
      </c>
      <c r="AD154">
        <f t="shared" si="156"/>
        <v>6.232984346191215E-4</v>
      </c>
      <c r="AE154">
        <f t="shared" si="156"/>
        <v>4.2098875323787649E-4</v>
      </c>
      <c r="AF154">
        <f t="shared" si="156"/>
        <v>2.7553991333403687E-4</v>
      </c>
      <c r="AG154">
        <f t="shared" si="156"/>
        <v>1.7475841909193502E-4</v>
      </c>
      <c r="AH154">
        <f t="shared" si="156"/>
        <v>1.0740667278544683E-4</v>
      </c>
      <c r="AI154">
        <f t="shared" si="156"/>
        <v>6.396817868699247E-5</v>
      </c>
      <c r="AJ154">
        <f t="shared" si="156"/>
        <v>3.6917839230597057E-5</v>
      </c>
      <c r="AK154">
        <f t="shared" si="156"/>
        <v>2.064658029714311E-5</v>
      </c>
      <c r="AL154">
        <f t="shared" si="156"/>
        <v>1.1189213285219697E-5</v>
      </c>
      <c r="AM154">
        <f t="shared" si="156"/>
        <v>5.8761184829264248E-6</v>
      </c>
      <c r="AN154">
        <f t="shared" si="156"/>
        <v>2.9903437055440938E-6</v>
      </c>
      <c r="AO154">
        <f t="shared" si="156"/>
        <v>1.4746578006249198E-6</v>
      </c>
      <c r="AP154">
        <f t="shared" si="156"/>
        <v>7.0469467919979588E-7</v>
      </c>
      <c r="AQ154">
        <f t="shared" si="156"/>
        <v>3.2632501101540292E-7</v>
      </c>
      <c r="AR154">
        <f t="shared" si="156"/>
        <v>1.4643315817791021E-7</v>
      </c>
      <c r="AS154">
        <f t="shared" si="156"/>
        <v>6.3674909944451166E-8</v>
      </c>
      <c r="AT154">
        <f t="shared" si="156"/>
        <v>2.683103257861499E-8</v>
      </c>
      <c r="AU154">
        <f t="shared" si="156"/>
        <v>1.0955877460602616E-8</v>
      </c>
      <c r="AV154">
        <f t="shared" si="156"/>
        <v>4.3350975136796963E-9</v>
      </c>
      <c r="AW154">
        <f t="shared" si="156"/>
        <v>1.6622443545254704E-9</v>
      </c>
      <c r="AX154">
        <f t="shared" si="156"/>
        <v>6.1764623090634944E-10</v>
      </c>
      <c r="AY154">
        <f t="shared" si="156"/>
        <v>2.2240404115220842E-10</v>
      </c>
      <c r="AZ154">
        <f t="shared" si="156"/>
        <v>7.7610562777356066E-11</v>
      </c>
      <c r="BA154">
        <f t="shared" si="156"/>
        <v>2.6248665395268871E-11</v>
      </c>
    </row>
    <row r="155" spans="1:53" x14ac:dyDescent="0.25">
      <c r="A155" s="1">
        <v>6</v>
      </c>
      <c r="B155" s="2">
        <f t="shared" si="153"/>
        <v>-2.0339252247313473</v>
      </c>
      <c r="C155">
        <f t="shared" ref="C155:BA155" si="157">C39*$G$1+C97*$G$11</f>
        <v>2.3558160526930956E-4</v>
      </c>
      <c r="D155">
        <f t="shared" si="157"/>
        <v>3.7411872813399011E-4</v>
      </c>
      <c r="E155">
        <f t="shared" si="157"/>
        <v>5.757276504749191E-4</v>
      </c>
      <c r="F155">
        <f t="shared" si="157"/>
        <v>8.5854742998928678E-4</v>
      </c>
      <c r="G155">
        <f t="shared" si="157"/>
        <v>1.2406550948439541E-3</v>
      </c>
      <c r="H155">
        <f t="shared" si="157"/>
        <v>1.7373103233097862E-3</v>
      </c>
      <c r="I155">
        <f t="shared" si="157"/>
        <v>2.3574544129074705E-3</v>
      </c>
      <c r="J155">
        <f t="shared" si="157"/>
        <v>3.0999077689756295E-3</v>
      </c>
      <c r="K155">
        <f t="shared" si="157"/>
        <v>3.9499700969960324E-3</v>
      </c>
      <c r="L155">
        <f t="shared" si="157"/>
        <v>4.8772880917145531E-3</v>
      </c>
      <c r="M155">
        <f t="shared" si="157"/>
        <v>5.8358292550806266E-3</v>
      </c>
      <c r="N155">
        <f t="shared" si="157"/>
        <v>6.7665346558199143E-3</v>
      </c>
      <c r="O155">
        <f t="shared" si="157"/>
        <v>7.6027307497039927E-3</v>
      </c>
      <c r="P155">
        <f t="shared" si="157"/>
        <v>8.277753244070948E-3</v>
      </c>
      <c r="Q155">
        <f t="shared" si="157"/>
        <v>8.7336323943284239E-3</v>
      </c>
      <c r="R155">
        <f t="shared" si="157"/>
        <v>8.9292895550445849E-3</v>
      </c>
      <c r="S155">
        <f t="shared" si="157"/>
        <v>8.8466423599919755E-3</v>
      </c>
      <c r="T155">
        <f t="shared" si="157"/>
        <v>8.493361338364952E-3</v>
      </c>
      <c r="U155">
        <f t="shared" si="157"/>
        <v>7.901695641095734E-3</v>
      </c>
      <c r="V155">
        <f t="shared" si="157"/>
        <v>7.1236169737566206E-3</v>
      </c>
      <c r="W155">
        <f t="shared" si="157"/>
        <v>6.2232950093931262E-3</v>
      </c>
      <c r="X155">
        <f t="shared" si="157"/>
        <v>5.2684126473189806E-3</v>
      </c>
      <c r="Y155">
        <f t="shared" si="157"/>
        <v>4.3219401113940292E-3</v>
      </c>
      <c r="Z155">
        <f t="shared" si="157"/>
        <v>3.4357161133382413E-3</v>
      </c>
      <c r="AA155">
        <f t="shared" si="157"/>
        <v>2.6466430044675242E-3</v>
      </c>
      <c r="AB155">
        <f t="shared" si="157"/>
        <v>1.9756637176888353E-3</v>
      </c>
      <c r="AC155">
        <f t="shared" si="157"/>
        <v>1.4291251093404721E-3</v>
      </c>
      <c r="AD155">
        <f t="shared" si="157"/>
        <v>1.0017677384964519E-3</v>
      </c>
      <c r="AE155">
        <f t="shared" si="157"/>
        <v>6.8046125063325248E-4</v>
      </c>
      <c r="AF155">
        <f t="shared" si="157"/>
        <v>4.4789820595083474E-4</v>
      </c>
      <c r="AG155">
        <f t="shared" si="157"/>
        <v>2.8568985125975566E-4</v>
      </c>
      <c r="AH155">
        <f t="shared" si="157"/>
        <v>1.765833978229172E-4</v>
      </c>
      <c r="AI155">
        <f t="shared" si="157"/>
        <v>1.0576561330240273E-4</v>
      </c>
      <c r="AJ155">
        <f t="shared" si="157"/>
        <v>6.1387321147781681E-5</v>
      </c>
      <c r="AK155">
        <f t="shared" si="157"/>
        <v>3.4526490774915703E-5</v>
      </c>
      <c r="AL155">
        <f t="shared" si="157"/>
        <v>1.8817666496167687E-5</v>
      </c>
      <c r="AM155">
        <f t="shared" si="157"/>
        <v>9.9384502942644175E-6</v>
      </c>
      <c r="AN155">
        <f t="shared" si="157"/>
        <v>5.0864075805400005E-6</v>
      </c>
      <c r="AO155">
        <f t="shared" si="157"/>
        <v>2.5225701511176859E-6</v>
      </c>
      <c r="AP155">
        <f t="shared" si="157"/>
        <v>1.212313663523764E-6</v>
      </c>
      <c r="AQ155">
        <f t="shared" si="157"/>
        <v>5.6458130798395955E-7</v>
      </c>
      <c r="AR155">
        <f t="shared" si="157"/>
        <v>2.5478739361879705E-7</v>
      </c>
      <c r="AS155">
        <f t="shared" si="157"/>
        <v>1.1142168547388985E-7</v>
      </c>
      <c r="AT155">
        <f t="shared" si="157"/>
        <v>4.7217465368408554E-8</v>
      </c>
      <c r="AU155">
        <f t="shared" si="157"/>
        <v>1.9390026414417694E-8</v>
      </c>
      <c r="AV155">
        <f t="shared" si="157"/>
        <v>7.7161405557238603E-9</v>
      </c>
      <c r="AW155">
        <f t="shared" si="157"/>
        <v>2.9755973177709993E-9</v>
      </c>
      <c r="AX155">
        <f t="shared" si="157"/>
        <v>1.112020264171933E-9</v>
      </c>
      <c r="AY155">
        <f t="shared" si="157"/>
        <v>4.0275338104239098E-10</v>
      </c>
      <c r="AZ155">
        <f t="shared" si="157"/>
        <v>1.4138330333753142E-10</v>
      </c>
      <c r="BA155">
        <f t="shared" si="157"/>
        <v>4.8114169743052362E-11</v>
      </c>
    </row>
    <row r="156" spans="1:53" x14ac:dyDescent="0.25">
      <c r="A156" s="1">
        <v>7</v>
      </c>
      <c r="B156" s="2">
        <f t="shared" si="153"/>
        <v>-1.8427385568059496</v>
      </c>
      <c r="C156">
        <f t="shared" ref="C156:BA156" si="158">C40*$G$1+C98*$G$11</f>
        <v>3.1309374978896227E-4</v>
      </c>
      <c r="D156">
        <f t="shared" si="158"/>
        <v>5.0003956716521776E-4</v>
      </c>
      <c r="E156">
        <f t="shared" si="158"/>
        <v>7.7388051016553548E-4</v>
      </c>
      <c r="F156">
        <f t="shared" si="158"/>
        <v>1.1606011969118432E-3</v>
      </c>
      <c r="G156">
        <f t="shared" si="158"/>
        <v>1.6866760766314948E-3</v>
      </c>
      <c r="H156">
        <f t="shared" si="158"/>
        <v>2.3753079489918323E-3</v>
      </c>
      <c r="I156">
        <f t="shared" si="158"/>
        <v>3.241512683796903E-3</v>
      </c>
      <c r="J156">
        <f t="shared" si="158"/>
        <v>4.2866210728886474E-3</v>
      </c>
      <c r="K156">
        <f t="shared" si="158"/>
        <v>5.4931572309000025E-3</v>
      </c>
      <c r="L156">
        <f t="shared" si="158"/>
        <v>6.8213216971690456E-3</v>
      </c>
      <c r="M156">
        <f t="shared" si="158"/>
        <v>8.208326052638203E-3</v>
      </c>
      <c r="N156">
        <f t="shared" si="158"/>
        <v>9.5715050544568411E-3</v>
      </c>
      <c r="O156">
        <f t="shared" si="158"/>
        <v>1.0815470894403306E-2</v>
      </c>
      <c r="P156">
        <f t="shared" si="158"/>
        <v>1.1842685577385857E-2</v>
      </c>
      <c r="Q156">
        <f t="shared" si="158"/>
        <v>1.2565926961401453E-2</v>
      </c>
      <c r="R156">
        <f t="shared" si="158"/>
        <v>1.2920473490623632E-2</v>
      </c>
      <c r="S156">
        <f t="shared" si="158"/>
        <v>1.2873655811969885E-2</v>
      </c>
      <c r="T156">
        <f t="shared" si="158"/>
        <v>1.2429822423649105E-2</v>
      </c>
      <c r="U156">
        <f t="shared" si="158"/>
        <v>1.1629673463577808E-2</v>
      </c>
      <c r="V156">
        <f t="shared" si="158"/>
        <v>1.0544104065877151E-2</v>
      </c>
      <c r="W156">
        <f t="shared" si="158"/>
        <v>9.263847825893852E-3</v>
      </c>
      <c r="X156">
        <f t="shared" si="158"/>
        <v>7.8870157376077655E-3</v>
      </c>
      <c r="Y156">
        <f t="shared" si="158"/>
        <v>6.5068915511255461E-3</v>
      </c>
      <c r="Z156">
        <f t="shared" si="158"/>
        <v>5.2020436944796066E-3</v>
      </c>
      <c r="AA156">
        <f t="shared" si="158"/>
        <v>4.0300829859591172E-3</v>
      </c>
      <c r="AB156">
        <f t="shared" si="158"/>
        <v>3.0254748598841025E-3</v>
      </c>
      <c r="AC156">
        <f t="shared" si="158"/>
        <v>2.2009626571250912E-3</v>
      </c>
      <c r="AD156">
        <f t="shared" si="158"/>
        <v>1.5515699714923111E-3</v>
      </c>
      <c r="AE156">
        <f t="shared" si="158"/>
        <v>1.0599115474986258E-3</v>
      </c>
      <c r="AF156">
        <f t="shared" si="158"/>
        <v>7.0162886536978119E-4</v>
      </c>
      <c r="AG156">
        <f t="shared" si="158"/>
        <v>4.5007494621931911E-4</v>
      </c>
      <c r="AH156">
        <f t="shared" si="158"/>
        <v>2.7977042032151028E-4</v>
      </c>
      <c r="AI156">
        <f t="shared" si="158"/>
        <v>1.6852266547786457E-4</v>
      </c>
      <c r="AJ156">
        <f t="shared" si="158"/>
        <v>9.8368129350047604E-5</v>
      </c>
      <c r="AK156">
        <f t="shared" si="158"/>
        <v>5.5640378690635378E-5</v>
      </c>
      <c r="AL156">
        <f t="shared" si="158"/>
        <v>3.0497575840134168E-5</v>
      </c>
      <c r="AM156">
        <f t="shared" si="158"/>
        <v>1.6198699728335356E-5</v>
      </c>
      <c r="AN156">
        <f t="shared" si="158"/>
        <v>8.3374762987088272E-6</v>
      </c>
      <c r="AO156">
        <f t="shared" si="158"/>
        <v>4.1584238650497669E-6</v>
      </c>
      <c r="AP156">
        <f t="shared" si="158"/>
        <v>2.0098456784396488E-6</v>
      </c>
      <c r="AQ156">
        <f t="shared" si="158"/>
        <v>9.4131884804805109E-7</v>
      </c>
      <c r="AR156">
        <f t="shared" si="158"/>
        <v>4.2721985632293347E-7</v>
      </c>
      <c r="AS156">
        <f t="shared" si="158"/>
        <v>1.8789180696155835E-7</v>
      </c>
      <c r="AT156">
        <f t="shared" si="158"/>
        <v>8.0077075342960402E-8</v>
      </c>
      <c r="AU156">
        <f t="shared" si="158"/>
        <v>3.3071726912953563E-8</v>
      </c>
      <c r="AV156">
        <f t="shared" si="158"/>
        <v>1.3236171583810916E-8</v>
      </c>
      <c r="AW156">
        <f t="shared" si="158"/>
        <v>5.1338274611436269E-9</v>
      </c>
      <c r="AX156">
        <f t="shared" si="158"/>
        <v>1.9298571023138534E-9</v>
      </c>
      <c r="AY156">
        <f t="shared" si="158"/>
        <v>7.0319209087648009E-10</v>
      </c>
      <c r="AZ156">
        <f t="shared" si="158"/>
        <v>2.4842769364095105E-10</v>
      </c>
      <c r="BA156">
        <f t="shared" si="158"/>
        <v>8.5135549863505912E-11</v>
      </c>
    </row>
    <row r="157" spans="1:53" x14ac:dyDescent="0.25">
      <c r="A157" s="1">
        <v>8</v>
      </c>
      <c r="B157" s="2">
        <f t="shared" si="153"/>
        <v>-1.651551888880552</v>
      </c>
      <c r="C157">
        <f t="shared" ref="C157:BA157" si="159">C41*$G$1+C99*$G$11</f>
        <v>4.0099664458373272E-4</v>
      </c>
      <c r="D157">
        <f t="shared" si="159"/>
        <v>6.4406931867442034E-4</v>
      </c>
      <c r="E157">
        <f t="shared" si="159"/>
        <v>1.0024530698253369E-3</v>
      </c>
      <c r="F157">
        <f t="shared" si="159"/>
        <v>1.5119417342745922E-3</v>
      </c>
      <c r="G157">
        <f t="shared" si="159"/>
        <v>2.2097626367730393E-3</v>
      </c>
      <c r="H157">
        <f t="shared" si="159"/>
        <v>3.1296499407249584E-3</v>
      </c>
      <c r="I157">
        <f t="shared" si="159"/>
        <v>4.2952205286032469E-3</v>
      </c>
      <c r="J157">
        <f t="shared" si="159"/>
        <v>5.712349038766577E-3</v>
      </c>
      <c r="K157">
        <f t="shared" si="159"/>
        <v>7.3617924893211806E-3</v>
      </c>
      <c r="L157">
        <f t="shared" si="159"/>
        <v>9.1937348255903342E-3</v>
      </c>
      <c r="M157">
        <f t="shared" si="159"/>
        <v>1.1126022683732684E-2</v>
      </c>
      <c r="N157">
        <f t="shared" si="159"/>
        <v>1.3047505089894823E-2</v>
      </c>
      <c r="O157">
        <f t="shared" si="159"/>
        <v>1.4827043952821516E-2</v>
      </c>
      <c r="P157">
        <f t="shared" si="159"/>
        <v>1.6327558223405605E-2</v>
      </c>
      <c r="Q157">
        <f t="shared" si="159"/>
        <v>1.742318200603192E-2</v>
      </c>
      <c r="R157">
        <f t="shared" si="159"/>
        <v>1.8016618054072748E-2</v>
      </c>
      <c r="S157">
        <f t="shared" si="159"/>
        <v>1.8053384683888157E-2</v>
      </c>
      <c r="T157">
        <f t="shared" si="159"/>
        <v>1.7530066632762874E-2</v>
      </c>
      <c r="U157">
        <f t="shared" si="159"/>
        <v>1.6494838342903082E-2</v>
      </c>
      <c r="V157">
        <f t="shared" si="159"/>
        <v>1.5040148574742443E-2</v>
      </c>
      <c r="W157">
        <f t="shared" si="159"/>
        <v>1.3289105690447521E-2</v>
      </c>
      <c r="X157">
        <f t="shared" si="159"/>
        <v>1.1378341142974386E-2</v>
      </c>
      <c r="Y157">
        <f t="shared" si="159"/>
        <v>9.4406459730447291E-3</v>
      </c>
      <c r="Z157">
        <f t="shared" si="159"/>
        <v>7.5903890957286961E-3</v>
      </c>
      <c r="AA157">
        <f t="shared" si="159"/>
        <v>5.9137904630305344E-3</v>
      </c>
      <c r="AB157">
        <f t="shared" si="159"/>
        <v>4.4648553372148977E-3</v>
      </c>
      <c r="AC157">
        <f t="shared" si="159"/>
        <v>3.2665432887725903E-3</v>
      </c>
      <c r="AD157">
        <f t="shared" si="159"/>
        <v>2.3158424469185948E-3</v>
      </c>
      <c r="AE157">
        <f t="shared" si="159"/>
        <v>1.590996293887217E-3</v>
      </c>
      <c r="AF157">
        <f t="shared" si="159"/>
        <v>1.059177856223742E-3</v>
      </c>
      <c r="AG157">
        <f t="shared" si="159"/>
        <v>6.8329490748146788E-4</v>
      </c>
      <c r="AH157">
        <f t="shared" si="159"/>
        <v>4.2715652331353513E-4</v>
      </c>
      <c r="AI157">
        <f t="shared" si="159"/>
        <v>2.5876496276771611E-4</v>
      </c>
      <c r="AJ157">
        <f t="shared" si="159"/>
        <v>1.5190199376545019E-4</v>
      </c>
      <c r="AK157">
        <f t="shared" si="159"/>
        <v>8.6409413892880695E-5</v>
      </c>
      <c r="AL157">
        <f t="shared" si="159"/>
        <v>4.7631937414134867E-5</v>
      </c>
      <c r="AM157">
        <f t="shared" si="159"/>
        <v>2.544339598101663E-5</v>
      </c>
      <c r="AN157">
        <f t="shared" si="159"/>
        <v>1.317017774598882E-5</v>
      </c>
      <c r="AO157">
        <f t="shared" si="159"/>
        <v>6.6061450155030686E-6</v>
      </c>
      <c r="AP157">
        <f t="shared" si="159"/>
        <v>3.2110335532397034E-6</v>
      </c>
      <c r="AQ157">
        <f t="shared" si="159"/>
        <v>1.5124554976797257E-6</v>
      </c>
      <c r="AR157">
        <f t="shared" si="159"/>
        <v>6.90339763734749E-7</v>
      </c>
      <c r="AS157">
        <f t="shared" si="159"/>
        <v>3.0534351031847622E-7</v>
      </c>
      <c r="AT157">
        <f t="shared" si="159"/>
        <v>1.3087778307633291E-7</v>
      </c>
      <c r="AU157">
        <f t="shared" si="159"/>
        <v>5.4363341089405097E-8</v>
      </c>
      <c r="AV157">
        <f t="shared" si="159"/>
        <v>2.1884247962458136E-8</v>
      </c>
      <c r="AW157">
        <f t="shared" si="159"/>
        <v>8.5385676834771441E-9</v>
      </c>
      <c r="AX157">
        <f t="shared" si="159"/>
        <v>3.2295866364436885E-9</v>
      </c>
      <c r="AY157">
        <f t="shared" si="159"/>
        <v>1.1845897812271028E-9</v>
      </c>
      <c r="AZ157">
        <f t="shared" si="159"/>
        <v>4.2162461288101899E-10</v>
      </c>
      <c r="BA157">
        <f t="shared" si="159"/>
        <v>1.457892549209756E-10</v>
      </c>
    </row>
    <row r="158" spans="1:53" x14ac:dyDescent="0.25">
      <c r="A158" s="1">
        <v>9</v>
      </c>
      <c r="B158" s="2">
        <f t="shared" si="153"/>
        <v>-1.4603652209551545</v>
      </c>
      <c r="C158">
        <f t="shared" ref="C158:BA158" si="160">C42*$G$1+C100*$G$11</f>
        <v>4.9492614737536281E-4</v>
      </c>
      <c r="D158">
        <f t="shared" si="160"/>
        <v>7.9945527307667197E-4</v>
      </c>
      <c r="E158">
        <f t="shared" si="160"/>
        <v>1.2513751036233166E-3</v>
      </c>
      <c r="F158">
        <f t="shared" si="160"/>
        <v>1.8981057963626917E-3</v>
      </c>
      <c r="G158">
        <f t="shared" si="160"/>
        <v>2.7899273002290653E-3</v>
      </c>
      <c r="H158">
        <f t="shared" si="160"/>
        <v>3.9737901040481239E-3</v>
      </c>
      <c r="I158">
        <f t="shared" si="160"/>
        <v>5.4847460914941104E-3</v>
      </c>
      <c r="J158">
        <f t="shared" si="160"/>
        <v>7.335803622614278E-3</v>
      </c>
      <c r="K158">
        <f t="shared" si="160"/>
        <v>9.5077648610624368E-3</v>
      </c>
      <c r="L158">
        <f t="shared" si="160"/>
        <v>1.1941220952789208E-2</v>
      </c>
      <c r="M158">
        <f t="shared" si="160"/>
        <v>1.4533111389568669E-2</v>
      </c>
      <c r="N158">
        <f t="shared" si="160"/>
        <v>1.7139890231420256E-2</v>
      </c>
      <c r="O158">
        <f t="shared" si="160"/>
        <v>1.9588313065005625E-2</v>
      </c>
      <c r="P158">
        <f t="shared" si="160"/>
        <v>2.1693299022957493E-2</v>
      </c>
      <c r="Q158">
        <f t="shared" si="160"/>
        <v>2.3280576738004745E-2</v>
      </c>
      <c r="R158">
        <f t="shared" si="160"/>
        <v>2.4210370382231942E-2</v>
      </c>
      <c r="S158">
        <f t="shared" si="160"/>
        <v>2.4397689402139777E-2</v>
      </c>
      <c r="T158">
        <f t="shared" si="160"/>
        <v>2.3825143709112605E-2</v>
      </c>
      <c r="U158">
        <f t="shared" si="160"/>
        <v>2.254560665571323E-2</v>
      </c>
      <c r="V158">
        <f t="shared" si="160"/>
        <v>2.0674160749094055E-2</v>
      </c>
      <c r="W158">
        <f t="shared" si="160"/>
        <v>1.8371026255216191E-2</v>
      </c>
      <c r="X158">
        <f t="shared" si="160"/>
        <v>1.5818981314835352E-2</v>
      </c>
      <c r="Y158">
        <f t="shared" si="160"/>
        <v>1.3199673060719324E-2</v>
      </c>
      <c r="Z158">
        <f t="shared" si="160"/>
        <v>1.0673021932514123E-2</v>
      </c>
      <c r="AA158">
        <f t="shared" si="160"/>
        <v>8.3627900815027318E-3</v>
      </c>
      <c r="AB158">
        <f t="shared" si="160"/>
        <v>6.3497197128803938E-3</v>
      </c>
      <c r="AC158">
        <f t="shared" si="160"/>
        <v>4.6719424154808113E-3</v>
      </c>
      <c r="AD158">
        <f t="shared" si="160"/>
        <v>3.3310409634347122E-3</v>
      </c>
      <c r="AE158">
        <f t="shared" si="160"/>
        <v>2.3014525869066854E-3</v>
      </c>
      <c r="AF158">
        <f t="shared" si="160"/>
        <v>1.540861692053424E-3</v>
      </c>
      <c r="AG158">
        <f t="shared" si="160"/>
        <v>9.9968885931213196E-4</v>
      </c>
      <c r="AH158">
        <f t="shared" si="160"/>
        <v>6.2850048526508098E-4</v>
      </c>
      <c r="AI158">
        <f t="shared" si="160"/>
        <v>3.8290052253958087E-4</v>
      </c>
      <c r="AJ158">
        <f t="shared" si="160"/>
        <v>2.2605071743320125E-4</v>
      </c>
      <c r="AK158">
        <f t="shared" si="160"/>
        <v>1.2931992257108482E-4</v>
      </c>
      <c r="AL158">
        <f t="shared" si="160"/>
        <v>7.16910025269031E-5</v>
      </c>
      <c r="AM158">
        <f t="shared" si="160"/>
        <v>3.8512672817824823E-5</v>
      </c>
      <c r="AN158">
        <f t="shared" si="160"/>
        <v>2.0048537573856742E-5</v>
      </c>
      <c r="AO158">
        <f t="shared" si="160"/>
        <v>1.0113518400535128E-5</v>
      </c>
      <c r="AP158">
        <f t="shared" si="160"/>
        <v>4.9438283649360061E-6</v>
      </c>
      <c r="AQ158">
        <f t="shared" si="160"/>
        <v>2.3418985964535391E-6</v>
      </c>
      <c r="AR158">
        <f t="shared" si="160"/>
        <v>1.0750296243363212E-6</v>
      </c>
      <c r="AS158">
        <f t="shared" si="160"/>
        <v>4.7822075124437634E-7</v>
      </c>
      <c r="AT158">
        <f t="shared" si="160"/>
        <v>2.0616152859739502E-7</v>
      </c>
      <c r="AU158">
        <f t="shared" si="160"/>
        <v>8.6136677089728985E-8</v>
      </c>
      <c r="AV158">
        <f t="shared" si="160"/>
        <v>3.488407640543655E-8</v>
      </c>
      <c r="AW158">
        <f t="shared" si="160"/>
        <v>1.3697242852696032E-8</v>
      </c>
      <c r="AX158">
        <f t="shared" si="160"/>
        <v>5.2168399101687256E-9</v>
      </c>
      <c r="AY158">
        <f t="shared" si="160"/>
        <v>1.928949499080154E-9</v>
      </c>
      <c r="AZ158">
        <f t="shared" si="160"/>
        <v>6.9349432098817174E-10</v>
      </c>
      <c r="BA158">
        <f t="shared" si="160"/>
        <v>2.4308449354003156E-10</v>
      </c>
    </row>
    <row r="159" spans="1:53" x14ac:dyDescent="0.25">
      <c r="A159" s="1">
        <v>10</v>
      </c>
      <c r="B159" s="2">
        <f t="shared" si="153"/>
        <v>-1.269178553029757</v>
      </c>
      <c r="C159">
        <f t="shared" ref="C159:BA159" si="161">C43*$G$1+C101*$G$11</f>
        <v>5.886719982379975E-4</v>
      </c>
      <c r="D159">
        <f t="shared" si="161"/>
        <v>9.5628875925840085E-4</v>
      </c>
      <c r="E159">
        <f t="shared" si="161"/>
        <v>1.505373580842138E-3</v>
      </c>
      <c r="F159">
        <f t="shared" si="161"/>
        <v>2.2963553563937872E-3</v>
      </c>
      <c r="G159">
        <f t="shared" si="161"/>
        <v>3.3944816589289747E-3</v>
      </c>
      <c r="H159">
        <f t="shared" si="161"/>
        <v>4.8623632895851273E-3</v>
      </c>
      <c r="I159">
        <f t="shared" si="161"/>
        <v>6.7493337992414948E-3</v>
      </c>
      <c r="J159">
        <f t="shared" si="161"/>
        <v>9.0784974740662043E-3</v>
      </c>
      <c r="K159">
        <f t="shared" si="161"/>
        <v>1.1833320105530594E-2</v>
      </c>
      <c r="L159">
        <f t="shared" si="161"/>
        <v>1.4946476194905696E-2</v>
      </c>
      <c r="M159">
        <f t="shared" si="161"/>
        <v>1.8294080373645067E-2</v>
      </c>
      <c r="N159">
        <f t="shared" si="161"/>
        <v>2.1698110518836081E-2</v>
      </c>
      <c r="O159">
        <f t="shared" si="161"/>
        <v>2.4938642937920443E-2</v>
      </c>
      <c r="P159">
        <f t="shared" si="161"/>
        <v>2.7775589407320347E-2</v>
      </c>
      <c r="Q159">
        <f t="shared" si="161"/>
        <v>2.99773553525263E-2</v>
      </c>
      <c r="R159">
        <f t="shared" si="161"/>
        <v>3.1351831380508857E-2</v>
      </c>
      <c r="S159">
        <f t="shared" si="161"/>
        <v>3.1774013772585458E-2</v>
      </c>
      <c r="T159">
        <f t="shared" si="161"/>
        <v>3.1204757384815315E-2</v>
      </c>
      <c r="U159">
        <f t="shared" si="161"/>
        <v>2.9696762608285666E-2</v>
      </c>
      <c r="V159">
        <f t="shared" si="161"/>
        <v>2.7386527589772888E-2</v>
      </c>
      <c r="W159">
        <f t="shared" si="161"/>
        <v>2.4473968663062687E-2</v>
      </c>
      <c r="X159">
        <f t="shared" si="161"/>
        <v>2.1193925089087566E-2</v>
      </c>
      <c r="Y159">
        <f t="shared" si="161"/>
        <v>1.7785167366207954E-2</v>
      </c>
      <c r="Z159">
        <f t="shared" si="161"/>
        <v>1.4462523713629846E-2</v>
      </c>
      <c r="AA159">
        <f t="shared" si="161"/>
        <v>1.1396454943531658E-2</v>
      </c>
      <c r="AB159">
        <f t="shared" si="161"/>
        <v>8.7023197757063638E-3</v>
      </c>
      <c r="AC159">
        <f t="shared" si="161"/>
        <v>6.4393178719827854E-3</v>
      </c>
      <c r="AD159">
        <f t="shared" si="161"/>
        <v>4.617259221422784E-3</v>
      </c>
      <c r="AE159">
        <f t="shared" si="161"/>
        <v>3.2082501102403157E-3</v>
      </c>
      <c r="AF159">
        <f t="shared" si="161"/>
        <v>2.1601889862022795E-3</v>
      </c>
      <c r="AG159">
        <f t="shared" si="161"/>
        <v>1.4094667976709478E-3</v>
      </c>
      <c r="AH159">
        <f t="shared" si="161"/>
        <v>8.9116379178055523E-4</v>
      </c>
      <c r="AI159">
        <f t="shared" si="161"/>
        <v>5.4600901479479698E-4</v>
      </c>
      <c r="AJ159">
        <f t="shared" si="161"/>
        <v>3.2417664797525084E-4</v>
      </c>
      <c r="AK159">
        <f t="shared" si="161"/>
        <v>1.8651052807588825E-4</v>
      </c>
      <c r="AL159">
        <f t="shared" si="161"/>
        <v>1.0398359938475481E-4</v>
      </c>
      <c r="AM159">
        <f t="shared" si="161"/>
        <v>5.6178034775658688E-5</v>
      </c>
      <c r="AN159">
        <f t="shared" si="161"/>
        <v>2.9410954474876809E-5</v>
      </c>
      <c r="AO159">
        <f t="shared" si="161"/>
        <v>1.4920863306439087E-5</v>
      </c>
      <c r="AP159">
        <f t="shared" si="161"/>
        <v>7.3354000505205467E-6</v>
      </c>
      <c r="AQ159">
        <f t="shared" si="161"/>
        <v>3.4946538512878321E-6</v>
      </c>
      <c r="AR159">
        <f t="shared" si="161"/>
        <v>1.6134140276402606E-6</v>
      </c>
      <c r="AS159">
        <f t="shared" si="161"/>
        <v>7.2188795848518383E-7</v>
      </c>
      <c r="AT159">
        <f t="shared" si="161"/>
        <v>3.1305201714346787E-7</v>
      </c>
      <c r="AU159">
        <f t="shared" si="161"/>
        <v>1.3160213873971714E-7</v>
      </c>
      <c r="AV159">
        <f t="shared" si="161"/>
        <v>5.3648060413942094E-8</v>
      </c>
      <c r="AW159">
        <f t="shared" si="161"/>
        <v>2.1220664878254903E-8</v>
      </c>
      <c r="AX159">
        <f t="shared" si="161"/>
        <v>8.1539990939816269E-9</v>
      </c>
      <c r="AY159">
        <f t="shared" si="161"/>
        <v>3.0498191957795602E-9</v>
      </c>
      <c r="AZ159">
        <f t="shared" si="161"/>
        <v>1.1143393976353211E-9</v>
      </c>
      <c r="BA159">
        <f t="shared" si="161"/>
        <v>4.001335871278531E-10</v>
      </c>
    </row>
    <row r="160" spans="1:53" x14ac:dyDescent="0.25">
      <c r="A160" s="1">
        <v>11</v>
      </c>
      <c r="B160" s="2">
        <f t="shared" si="153"/>
        <v>-1.0779918851043595</v>
      </c>
      <c r="C160">
        <f t="shared" ref="C160:BA160" si="162">C44*$G$1+C102*$G$11</f>
        <v>6.7474500252037261E-4</v>
      </c>
      <c r="D160">
        <f t="shared" si="162"/>
        <v>1.1023442718987929E-3</v>
      </c>
      <c r="E160">
        <f t="shared" si="162"/>
        <v>1.7451565391471276E-3</v>
      </c>
      <c r="F160">
        <f t="shared" si="162"/>
        <v>2.6772633585941405E-3</v>
      </c>
      <c r="G160">
        <f t="shared" si="162"/>
        <v>3.9800393477521121E-3</v>
      </c>
      <c r="H160">
        <f t="shared" si="162"/>
        <v>5.7335447063668905E-3</v>
      </c>
      <c r="I160">
        <f t="shared" si="162"/>
        <v>8.0038438432172808E-3</v>
      </c>
      <c r="J160">
        <f t="shared" si="162"/>
        <v>1.0827135617355514E-2</v>
      </c>
      <c r="K160">
        <f t="shared" si="162"/>
        <v>1.4192800969750907E-2</v>
      </c>
      <c r="L160">
        <f t="shared" si="162"/>
        <v>1.8028608776878348E-2</v>
      </c>
      <c r="M160">
        <f t="shared" si="162"/>
        <v>2.2191971333589418E-2</v>
      </c>
      <c r="N160">
        <f t="shared" si="162"/>
        <v>2.6470924966092293E-2</v>
      </c>
      <c r="O160">
        <f t="shared" si="162"/>
        <v>3.0597216350841158E-2</v>
      </c>
      <c r="P160">
        <f t="shared" si="162"/>
        <v>3.4271592389643203E-2</v>
      </c>
      <c r="Q160">
        <f t="shared" si="162"/>
        <v>3.7198567567701055E-2</v>
      </c>
      <c r="R160">
        <f t="shared" si="162"/>
        <v>3.9125303122394567E-2</v>
      </c>
      <c r="S160">
        <f t="shared" si="162"/>
        <v>3.9877578636946152E-2</v>
      </c>
      <c r="T160">
        <f t="shared" si="162"/>
        <v>3.9385776408552821E-2</v>
      </c>
      <c r="U160">
        <f t="shared" si="162"/>
        <v>3.7695508675960845E-2</v>
      </c>
      <c r="V160">
        <f t="shared" si="162"/>
        <v>3.4960639764075103E-2</v>
      </c>
      <c r="W160">
        <f t="shared" si="162"/>
        <v>3.14201823210098E-2</v>
      </c>
      <c r="X160">
        <f t="shared" si="162"/>
        <v>2.7363874898545217E-2</v>
      </c>
      <c r="Y160">
        <f t="shared" si="162"/>
        <v>2.3093303215386638E-2</v>
      </c>
      <c r="Z160">
        <f t="shared" si="162"/>
        <v>1.8885743446051116E-2</v>
      </c>
      <c r="AA160">
        <f t="shared" si="162"/>
        <v>1.4966549272504098E-2</v>
      </c>
      <c r="AB160">
        <f t="shared" si="162"/>
        <v>1.1493408437345441E-2</v>
      </c>
      <c r="AC160">
        <f t="shared" si="162"/>
        <v>8.5529428050734185E-3</v>
      </c>
      <c r="AD160">
        <f t="shared" si="162"/>
        <v>6.1676804303940685E-3</v>
      </c>
      <c r="AE160">
        <f t="shared" si="162"/>
        <v>4.3099053123064213E-3</v>
      </c>
      <c r="AF160">
        <f t="shared" si="162"/>
        <v>2.9184561319508641E-3</v>
      </c>
      <c r="AG160">
        <f t="shared" si="162"/>
        <v>1.9150415292794876E-3</v>
      </c>
      <c r="AH160">
        <f t="shared" si="162"/>
        <v>1.2177070834251159E-3</v>
      </c>
      <c r="AI160">
        <f t="shared" si="162"/>
        <v>7.5032104352651212E-4</v>
      </c>
      <c r="AJ160">
        <f t="shared" si="162"/>
        <v>4.4801358614790277E-4</v>
      </c>
      <c r="AK160">
        <f t="shared" si="162"/>
        <v>2.5922400878769611E-4</v>
      </c>
      <c r="AL160">
        <f t="shared" si="162"/>
        <v>1.4534486457945729E-4</v>
      </c>
      <c r="AM160">
        <f t="shared" si="162"/>
        <v>7.8970613580704472E-5</v>
      </c>
      <c r="AN160">
        <f t="shared" si="162"/>
        <v>4.1579048749982041E-5</v>
      </c>
      <c r="AO160">
        <f t="shared" si="162"/>
        <v>2.1214389518233661E-5</v>
      </c>
      <c r="AP160">
        <f t="shared" si="162"/>
        <v>1.0489164385073005E-5</v>
      </c>
      <c r="AQ160">
        <f t="shared" si="162"/>
        <v>5.0259730529552337E-6</v>
      </c>
      <c r="AR160">
        <f t="shared" si="162"/>
        <v>2.3339770837840209E-6</v>
      </c>
      <c r="AS160">
        <f t="shared" si="162"/>
        <v>1.0505687626463437E-6</v>
      </c>
      <c r="AT160">
        <f t="shared" si="162"/>
        <v>4.58465869285613E-7</v>
      </c>
      <c r="AU160">
        <f t="shared" si="162"/>
        <v>1.9406080823677096E-7</v>
      </c>
      <c r="AV160">
        <f t="shared" si="162"/>
        <v>7.9739882268751398E-8</v>
      </c>
      <c r="AW160">
        <f t="shared" si="162"/>
        <v>3.1854694783942967E-8</v>
      </c>
      <c r="AX160">
        <f t="shared" si="162"/>
        <v>1.240495703694274E-8</v>
      </c>
      <c r="AY160">
        <f t="shared" si="162"/>
        <v>4.7309738525089937E-9</v>
      </c>
      <c r="AZ160">
        <f t="shared" si="162"/>
        <v>1.7805125405245961E-9</v>
      </c>
      <c r="BA160">
        <f t="shared" si="162"/>
        <v>6.6897759393811313E-10</v>
      </c>
    </row>
    <row r="161" spans="1:53" x14ac:dyDescent="0.25">
      <c r="A161" s="1">
        <v>12</v>
      </c>
      <c r="B161" s="2">
        <f t="shared" si="153"/>
        <v>-0.88680521717896177</v>
      </c>
      <c r="C161">
        <f t="shared" ref="C161:BA161" si="163">C45*$G$1+C103*$G$11</f>
        <v>7.4531402685538701E-4</v>
      </c>
      <c r="D161">
        <f t="shared" si="163"/>
        <v>1.2245563309456892E-3</v>
      </c>
      <c r="E161">
        <f t="shared" si="163"/>
        <v>1.9496551769156276E-3</v>
      </c>
      <c r="F161">
        <f t="shared" si="163"/>
        <v>3.0079901701644519E-3</v>
      </c>
      <c r="G161">
        <f t="shared" si="163"/>
        <v>4.4971211174254615E-3</v>
      </c>
      <c r="H161">
        <f t="shared" si="163"/>
        <v>6.5152685574224782E-3</v>
      </c>
      <c r="I161">
        <f t="shared" si="163"/>
        <v>9.1468093217878608E-3</v>
      </c>
      <c r="J161">
        <f t="shared" si="163"/>
        <v>1.244361298973916E-2</v>
      </c>
      <c r="K161">
        <f t="shared" si="163"/>
        <v>1.6404497497956791E-2</v>
      </c>
      <c r="L161">
        <f t="shared" si="163"/>
        <v>2.095650878565011E-2</v>
      </c>
      <c r="M161">
        <f t="shared" si="163"/>
        <v>2.5942659889044799E-2</v>
      </c>
      <c r="N161">
        <f t="shared" si="163"/>
        <v>3.1120720020502923E-2</v>
      </c>
      <c r="O161">
        <f t="shared" si="163"/>
        <v>3.6176315863318945E-2</v>
      </c>
      <c r="P161">
        <f t="shared" si="163"/>
        <v>4.0751031254250648E-2</v>
      </c>
      <c r="Q161">
        <f t="shared" si="163"/>
        <v>4.4482832767308321E-2</v>
      </c>
      <c r="R161">
        <f t="shared" si="163"/>
        <v>4.7052839308145078E-2</v>
      </c>
      <c r="S161">
        <f t="shared" si="163"/>
        <v>4.8230170827140977E-2</v>
      </c>
      <c r="T161">
        <f t="shared" si="163"/>
        <v>4.7906156759831918E-2</v>
      </c>
      <c r="U161">
        <f t="shared" si="163"/>
        <v>4.6110881903679471E-2</v>
      </c>
      <c r="V161">
        <f t="shared" si="163"/>
        <v>4.3008578812866842E-2</v>
      </c>
      <c r="W161">
        <f t="shared" si="163"/>
        <v>3.8872844524361454E-2</v>
      </c>
      <c r="X161">
        <f t="shared" si="163"/>
        <v>3.4046864081311315E-2</v>
      </c>
      <c r="Y161">
        <f t="shared" si="163"/>
        <v>2.889664874252686E-2</v>
      </c>
      <c r="Z161">
        <f t="shared" si="163"/>
        <v>2.3766071920106272E-2</v>
      </c>
      <c r="AA161">
        <f t="shared" si="163"/>
        <v>1.8941174356209466E-2</v>
      </c>
      <c r="AB161">
        <f t="shared" si="163"/>
        <v>1.4628370920164389E-2</v>
      </c>
      <c r="AC161">
        <f t="shared" si="163"/>
        <v>1.0947743020424129E-2</v>
      </c>
      <c r="AD161">
        <f t="shared" si="163"/>
        <v>7.9394934897112721E-3</v>
      </c>
      <c r="AE161">
        <f t="shared" si="163"/>
        <v>5.5795680386967177E-3</v>
      </c>
      <c r="AF161">
        <f t="shared" si="163"/>
        <v>3.799688129068229E-3</v>
      </c>
      <c r="AG161">
        <f t="shared" si="163"/>
        <v>2.5074654127936035E-3</v>
      </c>
      <c r="AH161">
        <f t="shared" si="163"/>
        <v>1.6034729679009637E-3</v>
      </c>
      <c r="AI161">
        <f t="shared" si="163"/>
        <v>9.9363794685710196E-4</v>
      </c>
      <c r="AJ161">
        <f t="shared" si="163"/>
        <v>5.9667085552837741E-4</v>
      </c>
      <c r="AK161">
        <f t="shared" si="163"/>
        <v>3.4720200363387593E-4</v>
      </c>
      <c r="AL161">
        <f t="shared" si="163"/>
        <v>1.9578148066912325E-4</v>
      </c>
      <c r="AM161">
        <f t="shared" si="163"/>
        <v>1.0698071700574623E-4</v>
      </c>
      <c r="AN161">
        <f t="shared" si="163"/>
        <v>5.664857033355016E-5</v>
      </c>
      <c r="AO161">
        <f t="shared" si="163"/>
        <v>2.9069124081434464E-5</v>
      </c>
      <c r="AP161">
        <f t="shared" si="163"/>
        <v>1.445619681938332E-5</v>
      </c>
      <c r="AQ161">
        <f t="shared" si="163"/>
        <v>6.9677606277939426E-6</v>
      </c>
      <c r="AR161">
        <f t="shared" si="163"/>
        <v>3.2555339619776669E-6</v>
      </c>
      <c r="AS161">
        <f t="shared" si="163"/>
        <v>1.4749559049698445E-6</v>
      </c>
      <c r="AT161">
        <f t="shared" si="163"/>
        <v>6.4836846413184477E-7</v>
      </c>
      <c r="AU161">
        <f t="shared" si="163"/>
        <v>2.7683886847167549E-7</v>
      </c>
      <c r="AV161">
        <f t="shared" si="163"/>
        <v>1.1504210730400981E-7</v>
      </c>
      <c r="AW161">
        <f t="shared" si="163"/>
        <v>4.6690926966523012E-8</v>
      </c>
      <c r="AX161">
        <f t="shared" si="163"/>
        <v>1.8618186521839798E-8</v>
      </c>
      <c r="AY161">
        <f t="shared" si="163"/>
        <v>7.3637864956137511E-9</v>
      </c>
      <c r="AZ161">
        <f t="shared" si="163"/>
        <v>2.9289344474047327E-9</v>
      </c>
      <c r="BA161">
        <f t="shared" si="163"/>
        <v>1.1916337481703198E-9</v>
      </c>
    </row>
    <row r="162" spans="1:53" x14ac:dyDescent="0.25">
      <c r="A162" s="1">
        <v>13</v>
      </c>
      <c r="B162" s="2">
        <f t="shared" si="153"/>
        <v>-0.69561854925356403</v>
      </c>
      <c r="C162">
        <f t="shared" ref="C162:BA162" si="164">C46*$G$1+C104*$G$11</f>
        <v>7.9336352936596843E-4</v>
      </c>
      <c r="D162">
        <f t="shared" si="164"/>
        <v>1.310912200924181E-3</v>
      </c>
      <c r="E162">
        <f t="shared" si="164"/>
        <v>2.099010180512095E-3</v>
      </c>
      <c r="F162">
        <f t="shared" si="164"/>
        <v>3.2568297051096423E-3</v>
      </c>
      <c r="G162">
        <f t="shared" si="164"/>
        <v>4.8968310715625692E-3</v>
      </c>
      <c r="H162">
        <f t="shared" si="164"/>
        <v>7.1346842844240638E-3</v>
      </c>
      <c r="I162">
        <f t="shared" si="164"/>
        <v>1.0073350929283378E-2</v>
      </c>
      <c r="J162">
        <f t="shared" si="164"/>
        <v>1.3782015497495637E-2</v>
      </c>
      <c r="K162">
        <f t="shared" si="164"/>
        <v>1.8272209671768291E-2</v>
      </c>
      <c r="L162">
        <f t="shared" si="164"/>
        <v>2.3475182236156182E-2</v>
      </c>
      <c r="M162">
        <f t="shared" si="164"/>
        <v>2.922580220486486E-2</v>
      </c>
      <c r="N162">
        <f t="shared" si="164"/>
        <v>3.525847102062471E-2</v>
      </c>
      <c r="O162">
        <f t="shared" si="164"/>
        <v>4.1219249099233066E-2</v>
      </c>
      <c r="P162">
        <f t="shared" si="164"/>
        <v>4.6695630376364095E-2</v>
      </c>
      <c r="Q162">
        <f t="shared" si="164"/>
        <v>5.1261578521322834E-2</v>
      </c>
      <c r="R162">
        <f t="shared" si="164"/>
        <v>5.4531478712555051E-2</v>
      </c>
      <c r="S162">
        <f t="shared" si="164"/>
        <v>5.6213695854298938E-2</v>
      </c>
      <c r="T162">
        <f t="shared" si="164"/>
        <v>5.6153466403380543E-2</v>
      </c>
      <c r="U162">
        <f t="shared" si="164"/>
        <v>5.4356385266837469E-2</v>
      </c>
      <c r="V162">
        <f t="shared" si="164"/>
        <v>5.0987548528251971E-2</v>
      </c>
      <c r="W162">
        <f t="shared" si="164"/>
        <v>4.6346534013567545E-2</v>
      </c>
      <c r="X162">
        <f t="shared" si="164"/>
        <v>4.0823473782258667E-2</v>
      </c>
      <c r="Y162">
        <f t="shared" si="164"/>
        <v>3.4845140469202111E-2</v>
      </c>
      <c r="Z162">
        <f t="shared" si="164"/>
        <v>2.8821332035778902E-2</v>
      </c>
      <c r="AA162">
        <f t="shared" si="164"/>
        <v>2.3100716243731924E-2</v>
      </c>
      <c r="AB162">
        <f t="shared" si="164"/>
        <v>1.7942229682088667E-2</v>
      </c>
      <c r="AC162">
        <f t="shared" si="164"/>
        <v>1.3504140631670348E-2</v>
      </c>
      <c r="AD162">
        <f t="shared" si="164"/>
        <v>9.8491119822275222E-3</v>
      </c>
      <c r="AE162">
        <f t="shared" si="164"/>
        <v>6.9609225529354852E-3</v>
      </c>
      <c r="AF162">
        <f t="shared" si="164"/>
        <v>4.7673405327274074E-3</v>
      </c>
      <c r="AG162">
        <f t="shared" si="164"/>
        <v>3.1639184868832038E-3</v>
      </c>
      <c r="AH162">
        <f t="shared" si="164"/>
        <v>2.0347653273059488E-3</v>
      </c>
      <c r="AI162">
        <f t="shared" si="164"/>
        <v>1.2680713891276966E-3</v>
      </c>
      <c r="AJ162">
        <f t="shared" si="164"/>
        <v>7.6579802014806078E-4</v>
      </c>
      <c r="AK162">
        <f t="shared" si="164"/>
        <v>4.4815435505883149E-4</v>
      </c>
      <c r="AL162">
        <f t="shared" si="164"/>
        <v>2.5414832593685579E-4</v>
      </c>
      <c r="AM162">
        <f t="shared" si="164"/>
        <v>1.3966897124181266E-4</v>
      </c>
      <c r="AN162">
        <f t="shared" si="164"/>
        <v>7.4383927005469751E-5</v>
      </c>
      <c r="AO162">
        <f t="shared" si="164"/>
        <v>3.8392911345076798E-5</v>
      </c>
      <c r="AP162">
        <f t="shared" si="164"/>
        <v>1.9207314005403199E-5</v>
      </c>
      <c r="AQ162">
        <f t="shared" si="164"/>
        <v>9.3158659172953239E-6</v>
      </c>
      <c r="AR162">
        <f t="shared" si="164"/>
        <v>4.3823284251046056E-6</v>
      </c>
      <c r="AS162">
        <f t="shared" si="164"/>
        <v>2.0010373057884442E-6</v>
      </c>
      <c r="AT162">
        <f t="shared" si="164"/>
        <v>8.8818719067951073E-7</v>
      </c>
      <c r="AU162">
        <f t="shared" si="164"/>
        <v>3.8422510503556254E-7</v>
      </c>
      <c r="AV162">
        <f t="shared" si="164"/>
        <v>1.6273197391908028E-7</v>
      </c>
      <c r="AW162">
        <f t="shared" si="164"/>
        <v>6.7990326463679024E-8</v>
      </c>
      <c r="AX162">
        <f t="shared" si="164"/>
        <v>2.8350720632688081E-8</v>
      </c>
      <c r="AY162">
        <f t="shared" si="164"/>
        <v>1.1986777515876435E-8</v>
      </c>
      <c r="AZ162">
        <f t="shared" si="164"/>
        <v>5.2294756741701136E-9</v>
      </c>
      <c r="BA162">
        <f t="shared" si="164"/>
        <v>2.3851344112910097E-9</v>
      </c>
    </row>
    <row r="163" spans="1:53" x14ac:dyDescent="0.25">
      <c r="A163" s="1">
        <v>14</v>
      </c>
      <c r="B163" s="2">
        <f t="shared" si="153"/>
        <v>-0.50443188132816674</v>
      </c>
      <c r="C163">
        <f t="shared" ref="C163:BA163" si="165">C47*$G$1+C105*$G$11</f>
        <v>8.1383898358672714E-4</v>
      </c>
      <c r="D163">
        <f t="shared" si="165"/>
        <v>1.3523894137370091E-3</v>
      </c>
      <c r="E163">
        <f t="shared" si="165"/>
        <v>2.1777328489696185E-3</v>
      </c>
      <c r="F163">
        <f t="shared" si="165"/>
        <v>3.3981849156865286E-3</v>
      </c>
      <c r="G163">
        <f t="shared" si="165"/>
        <v>5.1384126661873503E-3</v>
      </c>
      <c r="H163">
        <f t="shared" si="165"/>
        <v>7.5292291930033348E-3</v>
      </c>
      <c r="I163">
        <f t="shared" si="165"/>
        <v>1.0690834869345578E-2</v>
      </c>
      <c r="J163">
        <f t="shared" si="165"/>
        <v>1.4709987092013814E-2</v>
      </c>
      <c r="K163">
        <f t="shared" si="165"/>
        <v>1.9613383849504382E-2</v>
      </c>
      <c r="L163">
        <f t="shared" si="165"/>
        <v>2.5341500727514937E-2</v>
      </c>
      <c r="M163">
        <f t="shared" si="165"/>
        <v>3.1728657656443768E-2</v>
      </c>
      <c r="N163">
        <f t="shared" si="165"/>
        <v>3.8495559262622173E-2</v>
      </c>
      <c r="O163">
        <f t="shared" si="165"/>
        <v>4.5259435633503667E-2</v>
      </c>
      <c r="P163">
        <f t="shared" si="165"/>
        <v>5.1564071394584354E-2</v>
      </c>
      <c r="Q163">
        <f t="shared" si="165"/>
        <v>5.692785681088279E-2</v>
      </c>
      <c r="R163">
        <f t="shared" si="165"/>
        <v>6.0903469397470204E-2</v>
      </c>
      <c r="S163">
        <f t="shared" si="165"/>
        <v>6.3139159798986266E-2</v>
      </c>
      <c r="T163">
        <f t="shared" si="165"/>
        <v>6.3430061101595075E-2</v>
      </c>
      <c r="U163">
        <f t="shared" si="165"/>
        <v>6.1749156187908286E-2</v>
      </c>
      <c r="V163">
        <f t="shared" si="165"/>
        <v>5.8251416555578535E-2</v>
      </c>
      <c r="W163">
        <f t="shared" si="165"/>
        <v>5.3250234053187753E-2</v>
      </c>
      <c r="X163">
        <f t="shared" si="165"/>
        <v>4.7171112348067784E-2</v>
      </c>
      <c r="Y163">
        <f t="shared" si="165"/>
        <v>4.0492098170637252E-2</v>
      </c>
      <c r="Z163">
        <f t="shared" si="165"/>
        <v>3.3682476302298321E-2</v>
      </c>
      <c r="AA163">
        <f t="shared" si="165"/>
        <v>2.7150467719757224E-2</v>
      </c>
      <c r="AB163">
        <f t="shared" si="165"/>
        <v>2.12075351201284E-2</v>
      </c>
      <c r="AC163">
        <f t="shared" si="165"/>
        <v>1.605249944380497E-2</v>
      </c>
      <c r="AD163">
        <f t="shared" si="165"/>
        <v>1.177429056292612E-2</v>
      </c>
      <c r="AE163">
        <f t="shared" si="165"/>
        <v>8.3688639961982721E-3</v>
      </c>
      <c r="AF163">
        <f t="shared" si="165"/>
        <v>5.764187132337925E-3</v>
      </c>
      <c r="AG163">
        <f t="shared" si="165"/>
        <v>3.8472436827941539E-3</v>
      </c>
      <c r="AH163">
        <f t="shared" si="165"/>
        <v>2.4882953322527984E-3</v>
      </c>
      <c r="AI163">
        <f t="shared" si="165"/>
        <v>1.5595377048186955E-3</v>
      </c>
      <c r="AJ163">
        <f t="shared" si="165"/>
        <v>9.4718286915037122E-4</v>
      </c>
      <c r="AK163">
        <f t="shared" si="165"/>
        <v>5.5746855966773022E-4</v>
      </c>
      <c r="AL163">
        <f t="shared" si="165"/>
        <v>3.1795426752839902E-4</v>
      </c>
      <c r="AM163">
        <f t="shared" si="165"/>
        <v>1.7574570616595971E-4</v>
      </c>
      <c r="AN163">
        <f t="shared" si="165"/>
        <v>9.4149022830887364E-5</v>
      </c>
      <c r="AO163">
        <f t="shared" si="165"/>
        <v>4.889067249563647E-5</v>
      </c>
      <c r="AP163">
        <f t="shared" si="165"/>
        <v>2.4617575897407716E-5</v>
      </c>
      <c r="AQ163">
        <f t="shared" si="165"/>
        <v>1.2025932076093976E-5</v>
      </c>
      <c r="AR163">
        <f t="shared" si="165"/>
        <v>5.7056081772756461E-6</v>
      </c>
      <c r="AS163">
        <f t="shared" si="165"/>
        <v>2.6340637713763366E-6</v>
      </c>
      <c r="AT163">
        <f t="shared" si="165"/>
        <v>1.1873307292982134E-6</v>
      </c>
      <c r="AU163">
        <f t="shared" si="165"/>
        <v>5.2562542408527695E-7</v>
      </c>
      <c r="AV163">
        <f t="shared" si="165"/>
        <v>2.306986237080543E-7</v>
      </c>
      <c r="AW163">
        <f t="shared" si="165"/>
        <v>1.0179114354683157E-7</v>
      </c>
      <c r="AX163">
        <f t="shared" si="165"/>
        <v>4.5944764287582631E-8</v>
      </c>
      <c r="AY163">
        <f t="shared" si="165"/>
        <v>2.1569094079987223E-8</v>
      </c>
      <c r="AZ163">
        <f t="shared" si="165"/>
        <v>1.0622806479603301E-8</v>
      </c>
      <c r="BA163">
        <f t="shared" si="165"/>
        <v>5.4647707974161733E-9</v>
      </c>
    </row>
    <row r="164" spans="1:53" x14ac:dyDescent="0.25">
      <c r="A164" s="1">
        <v>15</v>
      </c>
      <c r="B164" s="2">
        <f t="shared" si="153"/>
        <v>-0.31324521340276901</v>
      </c>
      <c r="C164">
        <f t="shared" ref="C164:BA164" si="166">C48*$G$1+C106*$G$11</f>
        <v>8.0452226075767186E-4</v>
      </c>
      <c r="D164">
        <f t="shared" si="166"/>
        <v>1.3445075300678607E-3</v>
      </c>
      <c r="E164">
        <f t="shared" si="166"/>
        <v>2.1773486606969082E-3</v>
      </c>
      <c r="F164">
        <f t="shared" si="166"/>
        <v>3.4169001223701275E-3</v>
      </c>
      <c r="G164">
        <f t="shared" si="166"/>
        <v>5.1960839161233046E-3</v>
      </c>
      <c r="H164">
        <f t="shared" si="166"/>
        <v>7.6570166999791354E-3</v>
      </c>
      <c r="I164">
        <f t="shared" si="166"/>
        <v>1.0934088845305371E-2</v>
      </c>
      <c r="J164">
        <f t="shared" si="166"/>
        <v>1.5130217415497157E-2</v>
      </c>
      <c r="K164">
        <f t="shared" si="166"/>
        <v>2.0288376941128866E-2</v>
      </c>
      <c r="L164">
        <f t="shared" si="166"/>
        <v>2.6362646587523252E-2</v>
      </c>
      <c r="M164">
        <f t="shared" si="166"/>
        <v>3.3194816807571435E-2</v>
      </c>
      <c r="N164">
        <f t="shared" si="166"/>
        <v>4.0503365494882378E-2</v>
      </c>
      <c r="O164">
        <f t="shared" si="166"/>
        <v>4.7890736043697889E-2</v>
      </c>
      <c r="P164">
        <f t="shared" si="166"/>
        <v>5.4872087054140012E-2</v>
      </c>
      <c r="Q164">
        <f t="shared" si="166"/>
        <v>6.0924365089150778E-2</v>
      </c>
      <c r="R164">
        <f t="shared" si="166"/>
        <v>6.5549609863243E-2</v>
      </c>
      <c r="S164">
        <f t="shared" si="166"/>
        <v>6.8342171918425537E-2</v>
      </c>
      <c r="T164">
        <f t="shared" si="166"/>
        <v>6.9047348868308739E-2</v>
      </c>
      <c r="U164">
        <f t="shared" si="166"/>
        <v>6.7599705805517343E-2</v>
      </c>
      <c r="V164">
        <f t="shared" si="166"/>
        <v>6.4133090713005422E-2</v>
      </c>
      <c r="W164">
        <f t="shared" si="166"/>
        <v>5.8960220742105406E-2</v>
      </c>
      <c r="X164">
        <f t="shared" si="166"/>
        <v>5.2526153561349223E-2</v>
      </c>
      <c r="Y164">
        <f t="shared" si="166"/>
        <v>4.5345235966355958E-2</v>
      </c>
      <c r="Z164">
        <f t="shared" si="166"/>
        <v>3.7933883493280085E-2</v>
      </c>
      <c r="AA164">
        <f t="shared" si="166"/>
        <v>3.0751232464307356E-2</v>
      </c>
      <c r="AB164">
        <f t="shared" si="166"/>
        <v>2.4156685462117123E-2</v>
      </c>
      <c r="AC164">
        <f t="shared" si="166"/>
        <v>1.8388732613694198E-2</v>
      </c>
      <c r="AD164">
        <f t="shared" si="166"/>
        <v>1.3564567978569076E-2</v>
      </c>
      <c r="AE164">
        <f t="shared" si="166"/>
        <v>9.696165488604443E-3</v>
      </c>
      <c r="AF164">
        <f t="shared" si="166"/>
        <v>6.7163653259857794E-3</v>
      </c>
      <c r="AG164">
        <f t="shared" si="166"/>
        <v>4.5082664583192952E-3</v>
      </c>
      <c r="AH164">
        <f t="shared" si="166"/>
        <v>2.932427792825426E-3</v>
      </c>
      <c r="AI164">
        <f t="shared" si="166"/>
        <v>1.8483773143147851E-3</v>
      </c>
      <c r="AJ164">
        <f t="shared" si="166"/>
        <v>1.1290304535730602E-3</v>
      </c>
      <c r="AK164">
        <f t="shared" si="166"/>
        <v>6.6832036111486915E-4</v>
      </c>
      <c r="AL164">
        <f t="shared" si="166"/>
        <v>3.8339985047097515E-4</v>
      </c>
      <c r="AM164">
        <f t="shared" si="166"/>
        <v>2.1318397855687435E-4</v>
      </c>
      <c r="AN164">
        <f t="shared" si="166"/>
        <v>1.1491678777003564E-4</v>
      </c>
      <c r="AO164">
        <f t="shared" si="166"/>
        <v>6.0077500925280708E-5</v>
      </c>
      <c r="AP164">
        <f t="shared" si="166"/>
        <v>3.0483528656649479E-5</v>
      </c>
      <c r="AQ164">
        <f t="shared" si="166"/>
        <v>1.5033008596854853E-5</v>
      </c>
      <c r="AR164">
        <f t="shared" si="166"/>
        <v>7.2234604750950162E-6</v>
      </c>
      <c r="AS164">
        <f t="shared" si="166"/>
        <v>3.3969048625193024E-6</v>
      </c>
      <c r="AT164">
        <f t="shared" si="166"/>
        <v>1.5750224103305293E-6</v>
      </c>
      <c r="AU164">
        <f t="shared" si="166"/>
        <v>7.2843866410366672E-7</v>
      </c>
      <c r="AV164">
        <f t="shared" si="166"/>
        <v>3.4148299550351881E-7</v>
      </c>
      <c r="AW164">
        <f t="shared" si="166"/>
        <v>1.6522401555602432E-7</v>
      </c>
      <c r="AX164">
        <f t="shared" si="166"/>
        <v>8.367287400631024E-8</v>
      </c>
      <c r="AY164">
        <f t="shared" si="166"/>
        <v>4.447465629765098E-8</v>
      </c>
      <c r="AZ164">
        <f t="shared" si="166"/>
        <v>2.4555078618429798E-8</v>
      </c>
      <c r="BA164">
        <f t="shared" si="166"/>
        <v>1.3826086229473946E-8</v>
      </c>
    </row>
    <row r="165" spans="1:53" x14ac:dyDescent="0.25">
      <c r="A165" s="1">
        <v>16</v>
      </c>
      <c r="B165" s="2">
        <f t="shared" si="153"/>
        <v>-0.12205854547737172</v>
      </c>
      <c r="C165">
        <f t="shared" ref="C165:BA165" si="167">C49*$G$1+C107*$G$11</f>
        <v>7.6642729135640143E-4</v>
      </c>
      <c r="D165">
        <f t="shared" si="167"/>
        <v>1.2881250756022454E-3</v>
      </c>
      <c r="E165">
        <f t="shared" si="167"/>
        <v>2.0978994756255336E-3</v>
      </c>
      <c r="F165">
        <f t="shared" si="167"/>
        <v>3.3109367192861012E-3</v>
      </c>
      <c r="G165">
        <f t="shared" si="167"/>
        <v>5.0635680669682799E-3</v>
      </c>
      <c r="H165">
        <f t="shared" si="167"/>
        <v>7.5041583623811255E-3</v>
      </c>
      <c r="I165">
        <f t="shared" si="167"/>
        <v>1.0776727334754687E-2</v>
      </c>
      <c r="J165">
        <f t="shared" si="167"/>
        <v>1.4997240816811037E-2</v>
      </c>
      <c r="K165">
        <f t="shared" si="167"/>
        <v>2.0224388613142089E-2</v>
      </c>
      <c r="L165">
        <f t="shared" si="167"/>
        <v>2.6428894926096513E-2</v>
      </c>
      <c r="M165">
        <f t="shared" si="167"/>
        <v>3.3467415309654476E-2</v>
      </c>
      <c r="N165">
        <f t="shared" si="167"/>
        <v>4.1068128093443221E-2</v>
      </c>
      <c r="O165">
        <f t="shared" si="167"/>
        <v>4.8834552112640942E-2</v>
      </c>
      <c r="P165">
        <f t="shared" si="167"/>
        <v>5.6271575665899652E-2</v>
      </c>
      <c r="Q165">
        <f t="shared" si="167"/>
        <v>6.2833392575266239E-2</v>
      </c>
      <c r="R165">
        <f t="shared" si="167"/>
        <v>6.7987881484439239E-2</v>
      </c>
      <c r="S165">
        <f t="shared" si="167"/>
        <v>7.1287284914334351E-2</v>
      </c>
      <c r="T165">
        <f t="shared" si="167"/>
        <v>7.2432288354235708E-2</v>
      </c>
      <c r="U165">
        <f t="shared" si="167"/>
        <v>7.1316809248018975E-2</v>
      </c>
      <c r="V165">
        <f t="shared" si="167"/>
        <v>6.8044208950062052E-2</v>
      </c>
      <c r="W165">
        <f t="shared" si="167"/>
        <v>6.2911494549303698E-2</v>
      </c>
      <c r="X165">
        <f t="shared" si="167"/>
        <v>5.6364856502100935E-2</v>
      </c>
      <c r="Y165">
        <f t="shared" si="167"/>
        <v>4.8935765208431653E-2</v>
      </c>
      <c r="Z165">
        <f t="shared" si="167"/>
        <v>4.1170292038736483E-2</v>
      </c>
      <c r="AA165">
        <f t="shared" si="167"/>
        <v>3.3564572558194609E-2</v>
      </c>
      <c r="AB165">
        <f t="shared" si="167"/>
        <v>2.6516607130626934E-2</v>
      </c>
      <c r="AC165">
        <f t="shared" si="167"/>
        <v>2.0299930732281889E-2</v>
      </c>
      <c r="AD165">
        <f t="shared" si="167"/>
        <v>1.5059520898802536E-2</v>
      </c>
      <c r="AE165">
        <f t="shared" si="167"/>
        <v>1.0826005216846176E-2</v>
      </c>
      <c r="AF165">
        <f t="shared" si="167"/>
        <v>7.5416570306449165E-3</v>
      </c>
      <c r="AG165">
        <f t="shared" si="167"/>
        <v>5.0910671919563192E-3</v>
      </c>
      <c r="AH165">
        <f t="shared" si="167"/>
        <v>3.3304162122721362E-3</v>
      </c>
      <c r="AI165">
        <f t="shared" si="167"/>
        <v>2.1112716529549632E-3</v>
      </c>
      <c r="AJ165">
        <f t="shared" si="167"/>
        <v>1.2970661193622841E-3</v>
      </c>
      <c r="AK165">
        <f t="shared" si="167"/>
        <v>7.7229798012544589E-4</v>
      </c>
      <c r="AL165">
        <f t="shared" si="167"/>
        <v>4.4573370578754632E-4</v>
      </c>
      <c r="AM165">
        <f t="shared" si="167"/>
        <v>2.4943364331964454E-4</v>
      </c>
      <c r="AN165">
        <f t="shared" si="167"/>
        <v>1.3541094742235203E-4</v>
      </c>
      <c r="AO165">
        <f t="shared" si="167"/>
        <v>7.1384331160049584E-5</v>
      </c>
      <c r="AP165">
        <f t="shared" si="167"/>
        <v>3.660966817276938E-5</v>
      </c>
      <c r="AQ165">
        <f t="shared" si="167"/>
        <v>1.8325573518457485E-5</v>
      </c>
      <c r="AR165">
        <f t="shared" si="167"/>
        <v>9.0044623783353798E-6</v>
      </c>
      <c r="AS165">
        <f t="shared" si="167"/>
        <v>4.3836917205058206E-6</v>
      </c>
      <c r="AT165">
        <f t="shared" si="167"/>
        <v>2.1440691742511971E-6</v>
      </c>
      <c r="AU165">
        <f t="shared" si="167"/>
        <v>1.0724398579485195E-6</v>
      </c>
      <c r="AV165">
        <f t="shared" si="167"/>
        <v>5.5822172856129162E-7</v>
      </c>
      <c r="AW165">
        <f t="shared" si="167"/>
        <v>3.0529803781846797E-7</v>
      </c>
      <c r="AX165">
        <f t="shared" si="167"/>
        <v>1.7478816384101377E-7</v>
      </c>
      <c r="AY165">
        <f t="shared" si="167"/>
        <v>1.0315879931992084E-7</v>
      </c>
      <c r="AZ165">
        <f t="shared" si="167"/>
        <v>6.1537565781319776E-8</v>
      </c>
      <c r="BA165">
        <f t="shared" si="167"/>
        <v>3.6454603143656504E-8</v>
      </c>
    </row>
    <row r="166" spans="1:53" x14ac:dyDescent="0.25">
      <c r="A166" s="1">
        <v>17</v>
      </c>
      <c r="B166" s="2">
        <f t="shared" si="153"/>
        <v>6.9128122448026019E-2</v>
      </c>
      <c r="C166">
        <f t="shared" ref="C166:BA166" si="168">C50*$G$1+C108*$G$11</f>
        <v>7.0361838048646258E-4</v>
      </c>
      <c r="D166">
        <f t="shared" si="168"/>
        <v>1.1892855706706444E-3</v>
      </c>
      <c r="E166">
        <f t="shared" si="168"/>
        <v>1.9479360256950216E-3</v>
      </c>
      <c r="F166">
        <f t="shared" si="168"/>
        <v>3.0917387961780715E-3</v>
      </c>
      <c r="G166">
        <f t="shared" si="168"/>
        <v>4.7552183956530861E-3</v>
      </c>
      <c r="H166">
        <f t="shared" si="168"/>
        <v>7.0872492411121722E-3</v>
      </c>
      <c r="I166">
        <f t="shared" si="168"/>
        <v>1.0235864083488793E-2</v>
      </c>
      <c r="J166">
        <f t="shared" si="168"/>
        <v>1.4325536020710131E-2</v>
      </c>
      <c r="K166">
        <f t="shared" si="168"/>
        <v>1.9428390216717571E-2</v>
      </c>
      <c r="L166">
        <f t="shared" si="168"/>
        <v>2.5533027935277907E-2</v>
      </c>
      <c r="M166">
        <f t="shared" si="168"/>
        <v>3.2516769260907748E-2</v>
      </c>
      <c r="N166">
        <f t="shared" si="168"/>
        <v>4.0128416666374442E-2</v>
      </c>
      <c r="O166">
        <f t="shared" si="168"/>
        <v>4.7988395048350355E-2</v>
      </c>
      <c r="P166">
        <f t="shared" si="168"/>
        <v>5.5610908826630646E-2</v>
      </c>
      <c r="Q166">
        <f t="shared" si="168"/>
        <v>6.2448689069580413E-2</v>
      </c>
      <c r="R166">
        <f t="shared" si="168"/>
        <v>6.7955752454925619E-2</v>
      </c>
      <c r="S166">
        <f t="shared" si="168"/>
        <v>7.1658661465249116E-2</v>
      </c>
      <c r="T166">
        <f t="shared" si="168"/>
        <v>7.322354050847929E-2</v>
      </c>
      <c r="U166">
        <f t="shared" si="168"/>
        <v>7.2505729047781922E-2</v>
      </c>
      <c r="V166">
        <f t="shared" si="168"/>
        <v>6.957184038849161E-2</v>
      </c>
      <c r="W166">
        <f t="shared" si="168"/>
        <v>6.4689565128780213E-2</v>
      </c>
      <c r="X166">
        <f t="shared" si="168"/>
        <v>5.8287382040379511E-2</v>
      </c>
      <c r="Y166">
        <f t="shared" si="168"/>
        <v>5.0892579109442615E-2</v>
      </c>
      <c r="Z166">
        <f t="shared" si="168"/>
        <v>4.3059997090188588E-2</v>
      </c>
      <c r="AA166">
        <f t="shared" si="168"/>
        <v>3.5304756921698391E-2</v>
      </c>
      <c r="AB166">
        <f t="shared" si="168"/>
        <v>2.804996319700934E-2</v>
      </c>
      <c r="AC166">
        <f t="shared" si="168"/>
        <v>2.1595910366308951E-2</v>
      </c>
      <c r="AD166">
        <f t="shared" si="168"/>
        <v>1.6112077201771949E-2</v>
      </c>
      <c r="AE166">
        <f t="shared" si="168"/>
        <v>1.164859878713998E-2</v>
      </c>
      <c r="AF166">
        <f t="shared" si="168"/>
        <v>8.1609499137680983E-3</v>
      </c>
      <c r="AG166">
        <f t="shared" si="168"/>
        <v>5.540617310022344E-3</v>
      </c>
      <c r="AH166">
        <f t="shared" si="168"/>
        <v>3.6453323305890503E-3</v>
      </c>
      <c r="AI166">
        <f t="shared" si="168"/>
        <v>2.3243401230257196E-3</v>
      </c>
      <c r="AJ166">
        <f t="shared" si="168"/>
        <v>1.4364452769870743E-3</v>
      </c>
      <c r="AK166">
        <f t="shared" si="168"/>
        <v>8.6057625763485003E-4</v>
      </c>
      <c r="AL166">
        <f t="shared" si="168"/>
        <v>4.9999044469505819E-4</v>
      </c>
      <c r="AM166">
        <f t="shared" si="168"/>
        <v>2.8191061833791799E-4</v>
      </c>
      <c r="AN166">
        <f t="shared" si="168"/>
        <v>1.5445712058211947E-4</v>
      </c>
      <c r="AO166">
        <f t="shared" si="168"/>
        <v>8.243126017079372E-5</v>
      </c>
      <c r="AP166">
        <f t="shared" si="168"/>
        <v>4.3034039884980906E-5</v>
      </c>
      <c r="AQ166">
        <f t="shared" si="168"/>
        <v>2.213661570603101E-5</v>
      </c>
      <c r="AR166">
        <f t="shared" si="168"/>
        <v>1.134923042394195E-5</v>
      </c>
      <c r="AS166">
        <f t="shared" si="168"/>
        <v>5.8937023437451651E-6</v>
      </c>
      <c r="AT166">
        <f t="shared" si="168"/>
        <v>3.1585107644889015E-6</v>
      </c>
      <c r="AU166">
        <f t="shared" si="168"/>
        <v>1.7732929484834998E-6</v>
      </c>
      <c r="AV166">
        <f t="shared" si="168"/>
        <v>1.0469824888542489E-6</v>
      </c>
      <c r="AW166">
        <f t="shared" si="168"/>
        <v>6.4360406800088918E-7</v>
      </c>
      <c r="AX166">
        <f t="shared" si="168"/>
        <v>4.0430382371980504E-7</v>
      </c>
      <c r="AY166">
        <f t="shared" si="168"/>
        <v>2.5450817098838067E-7</v>
      </c>
      <c r="AZ166">
        <f t="shared" si="168"/>
        <v>1.5804475245277959E-7</v>
      </c>
      <c r="BA166">
        <f t="shared" si="168"/>
        <v>9.5773741649995847E-8</v>
      </c>
    </row>
    <row r="167" spans="1:53" x14ac:dyDescent="0.25">
      <c r="A167" s="1">
        <v>18</v>
      </c>
      <c r="B167" s="2">
        <f t="shared" si="153"/>
        <v>0.26031479037342375</v>
      </c>
      <c r="C167">
        <f t="shared" ref="C167:BA167" si="169">C51*$G$1+C109*$G$11</f>
        <v>6.2249620808649557E-4</v>
      </c>
      <c r="D167">
        <f t="shared" si="169"/>
        <v>1.058150847716817E-3</v>
      </c>
      <c r="E167">
        <f t="shared" si="169"/>
        <v>1.7430025570602575E-3</v>
      </c>
      <c r="F167">
        <f t="shared" si="169"/>
        <v>2.7821979763653815E-3</v>
      </c>
      <c r="G167">
        <f t="shared" si="169"/>
        <v>4.3034583357738449E-3</v>
      </c>
      <c r="H167">
        <f t="shared" si="169"/>
        <v>6.4504014002119241E-3</v>
      </c>
      <c r="I167">
        <f t="shared" si="169"/>
        <v>9.3690476035688548E-3</v>
      </c>
      <c r="J167">
        <f t="shared" si="169"/>
        <v>1.3186930466973324E-2</v>
      </c>
      <c r="K167">
        <f t="shared" si="169"/>
        <v>1.7985874262118309E-2</v>
      </c>
      <c r="L167">
        <f t="shared" si="169"/>
        <v>2.3771629666074722E-2</v>
      </c>
      <c r="M167">
        <f t="shared" si="169"/>
        <v>3.0445697276131254E-2</v>
      </c>
      <c r="N167">
        <f t="shared" si="169"/>
        <v>3.7786133965456575E-2</v>
      </c>
      <c r="O167">
        <f t="shared" si="169"/>
        <v>4.5444210331042262E-2</v>
      </c>
      <c r="P167">
        <f t="shared" si="169"/>
        <v>5.2961981914400678E-2</v>
      </c>
      <c r="Q167">
        <f t="shared" si="169"/>
        <v>5.9812156685974845E-2</v>
      </c>
      <c r="R167">
        <f t="shared" si="169"/>
        <v>6.545672348577812E-2</v>
      </c>
      <c r="S167">
        <f t="shared" si="169"/>
        <v>6.9415847315375659E-2</v>
      </c>
      <c r="T167">
        <f t="shared" si="169"/>
        <v>7.1334983239309466E-2</v>
      </c>
      <c r="U167">
        <f t="shared" si="169"/>
        <v>7.1037237998345631E-2</v>
      </c>
      <c r="V167">
        <f t="shared" si="169"/>
        <v>6.8550266026110737E-2</v>
      </c>
      <c r="W167">
        <f t="shared" si="169"/>
        <v>6.4102033138605491E-2</v>
      </c>
      <c r="X167">
        <f t="shared" si="169"/>
        <v>5.8086347245391287E-2</v>
      </c>
      <c r="Y167">
        <f t="shared" si="169"/>
        <v>5.1005378548808829E-2</v>
      </c>
      <c r="Z167">
        <f t="shared" si="169"/>
        <v>4.3400788792993E-2</v>
      </c>
      <c r="AA167">
        <f t="shared" si="169"/>
        <v>3.5786498559113013E-2</v>
      </c>
      <c r="AB167">
        <f t="shared" si="169"/>
        <v>2.8594410598541169E-2</v>
      </c>
      <c r="AC167">
        <f t="shared" si="169"/>
        <v>2.214034162900503E-2</v>
      </c>
      <c r="AD167">
        <f t="shared" si="169"/>
        <v>1.6612328624135048E-2</v>
      </c>
      <c r="AE167">
        <f t="shared" si="169"/>
        <v>1.2078789508183595E-2</v>
      </c>
      <c r="AF167">
        <f t="shared" si="169"/>
        <v>8.5108012684061828E-3</v>
      </c>
      <c r="AG167">
        <f t="shared" si="169"/>
        <v>5.811476684167944E-3</v>
      </c>
      <c r="AH167">
        <f t="shared" si="169"/>
        <v>3.845926878013846E-3</v>
      </c>
      <c r="AI167">
        <f t="shared" si="169"/>
        <v>2.4670146746369843E-3</v>
      </c>
      <c r="AJ167">
        <f t="shared" si="169"/>
        <v>1.5343005265920297E-3</v>
      </c>
      <c r="AK167">
        <f t="shared" si="169"/>
        <v>9.2561652645150748E-4</v>
      </c>
      <c r="AL167">
        <f t="shared" si="169"/>
        <v>5.4217263308546117E-4</v>
      </c>
      <c r="AM167">
        <f t="shared" si="169"/>
        <v>3.088724759556214E-4</v>
      </c>
      <c r="AN167">
        <f t="shared" si="169"/>
        <v>1.7167783410112914E-4</v>
      </c>
      <c r="AO167">
        <f t="shared" si="169"/>
        <v>9.3609867172106032E-5</v>
      </c>
      <c r="AP167">
        <f t="shared" si="169"/>
        <v>5.0529840984660061E-5</v>
      </c>
      <c r="AQ167">
        <f t="shared" si="169"/>
        <v>2.7376764995827813E-5</v>
      </c>
      <c r="AR167">
        <f t="shared" si="169"/>
        <v>1.515854355264841E-5</v>
      </c>
      <c r="AS167">
        <f t="shared" si="169"/>
        <v>8.7358306591418736E-6</v>
      </c>
      <c r="AT167">
        <f t="shared" si="169"/>
        <v>5.2970874998882463E-6</v>
      </c>
      <c r="AU167">
        <f t="shared" si="169"/>
        <v>3.3701089425726961E-6</v>
      </c>
      <c r="AV167">
        <f t="shared" si="169"/>
        <v>2.2156926406177515E-6</v>
      </c>
      <c r="AW167">
        <f t="shared" si="169"/>
        <v>1.4751617753133281E-6</v>
      </c>
      <c r="AX167">
        <f t="shared" si="169"/>
        <v>9.7651019869696669E-7</v>
      </c>
      <c r="AY167">
        <f t="shared" si="169"/>
        <v>6.3410101262255499E-7</v>
      </c>
      <c r="AZ167">
        <f t="shared" si="169"/>
        <v>4.0035605863304057E-7</v>
      </c>
      <c r="BA167">
        <f t="shared" si="169"/>
        <v>2.444491564259977E-7</v>
      </c>
    </row>
    <row r="168" spans="1:53" x14ac:dyDescent="0.25">
      <c r="A168" s="1">
        <v>19</v>
      </c>
      <c r="B168" s="2">
        <f t="shared" si="153"/>
        <v>0.45150145829882105</v>
      </c>
      <c r="C168">
        <f t="shared" ref="C168:BA168" si="170">C52*$G$1+C110*$G$11</f>
        <v>5.3072502237488429E-4</v>
      </c>
      <c r="D168">
        <f t="shared" si="170"/>
        <v>9.0728209040564502E-4</v>
      </c>
      <c r="E168">
        <f t="shared" si="170"/>
        <v>1.5029851105042313E-3</v>
      </c>
      <c r="F168">
        <f t="shared" si="170"/>
        <v>2.4127181124101666E-3</v>
      </c>
      <c r="G168">
        <f t="shared" si="170"/>
        <v>3.7531684500282836E-3</v>
      </c>
      <c r="H168">
        <f t="shared" si="170"/>
        <v>5.6575590482919116E-3</v>
      </c>
      <c r="I168">
        <f t="shared" si="170"/>
        <v>8.2641787093093895E-3</v>
      </c>
      <c r="J168">
        <f t="shared" si="170"/>
        <v>1.1697952964358781E-2</v>
      </c>
      <c r="K168">
        <f t="shared" si="170"/>
        <v>1.6045734713760154E-2</v>
      </c>
      <c r="L168">
        <f t="shared" si="170"/>
        <v>2.1327940018195761E-2</v>
      </c>
      <c r="M168">
        <f t="shared" si="170"/>
        <v>2.74712094299067E-2</v>
      </c>
      <c r="N168">
        <f t="shared" si="170"/>
        <v>3.4288320652848411E-2</v>
      </c>
      <c r="O168">
        <f t="shared" si="170"/>
        <v>4.147192711078964E-2</v>
      </c>
      <c r="P168">
        <f t="shared" si="170"/>
        <v>4.860733205502115E-2</v>
      </c>
      <c r="Q168">
        <f t="shared" si="170"/>
        <v>5.5206335263700244E-2</v>
      </c>
      <c r="R168">
        <f t="shared" si="170"/>
        <v>6.0759699840124616E-2</v>
      </c>
      <c r="S168">
        <f t="shared" si="170"/>
        <v>6.4801027024778121E-2</v>
      </c>
      <c r="T168">
        <f t="shared" si="170"/>
        <v>6.6971145737177148E-2</v>
      </c>
      <c r="U168">
        <f t="shared" si="170"/>
        <v>6.7070747245441181E-2</v>
      </c>
      <c r="V168">
        <f t="shared" si="170"/>
        <v>6.509058120942593E-2</v>
      </c>
      <c r="W168">
        <f t="shared" si="170"/>
        <v>6.1212873884126669E-2</v>
      </c>
      <c r="X168">
        <f t="shared" si="170"/>
        <v>5.5783667584348696E-2</v>
      </c>
      <c r="Y168">
        <f t="shared" si="170"/>
        <v>4.9261900107903753E-2</v>
      </c>
      <c r="Z168">
        <f t="shared" si="170"/>
        <v>4.2155604615893877E-2</v>
      </c>
      <c r="AA168">
        <f t="shared" si="170"/>
        <v>3.4957479972102329E-2</v>
      </c>
      <c r="AB168">
        <f t="shared" si="170"/>
        <v>2.8090968770575465E-2</v>
      </c>
      <c r="AC168">
        <f t="shared" si="170"/>
        <v>2.1874469912899111E-2</v>
      </c>
      <c r="AD168">
        <f t="shared" si="170"/>
        <v>1.6506595476397167E-2</v>
      </c>
      <c r="AE168">
        <f t="shared" si="170"/>
        <v>1.2070814592414967E-2</v>
      </c>
      <c r="AF168">
        <f t="shared" si="170"/>
        <v>8.5544999490382717E-3</v>
      </c>
      <c r="AG168">
        <f t="shared" si="170"/>
        <v>5.8758533385696067E-3</v>
      </c>
      <c r="AH168">
        <f t="shared" si="170"/>
        <v>3.9123920123859393E-3</v>
      </c>
      <c r="AI168">
        <f t="shared" si="170"/>
        <v>2.5261397222468064E-3</v>
      </c>
      <c r="AJ168">
        <f t="shared" si="170"/>
        <v>1.5827026386846679E-3</v>
      </c>
      <c r="AK168">
        <f t="shared" si="170"/>
        <v>9.6338728680919414E-4</v>
      </c>
      <c r="AL168">
        <f t="shared" si="170"/>
        <v>5.7101069133868763E-4</v>
      </c>
      <c r="AM168">
        <f t="shared" si="170"/>
        <v>3.3089578963986537E-4</v>
      </c>
      <c r="AN168">
        <f t="shared" si="170"/>
        <v>1.8878746010565528E-4</v>
      </c>
      <c r="AO168">
        <f t="shared" si="170"/>
        <v>1.0724166675907795E-4</v>
      </c>
      <c r="AP168">
        <f t="shared" si="170"/>
        <v>6.1640452193076169E-5</v>
      </c>
      <c r="AQ168">
        <f t="shared" si="170"/>
        <v>3.6543196075679583E-5</v>
      </c>
      <c r="AR168">
        <f t="shared" si="170"/>
        <v>2.2709785284370563E-5</v>
      </c>
      <c r="AS168">
        <f t="shared" si="170"/>
        <v>1.4869913818944334E-5</v>
      </c>
      <c r="AT168">
        <f t="shared" si="170"/>
        <v>1.0163653898977804E-5</v>
      </c>
      <c r="AU168">
        <f t="shared" si="170"/>
        <v>7.1161024004076513E-6</v>
      </c>
      <c r="AV168">
        <f t="shared" si="170"/>
        <v>5.001370402042871E-6</v>
      </c>
      <c r="AW168">
        <f t="shared" si="170"/>
        <v>3.4711753160207952E-6</v>
      </c>
      <c r="AX168">
        <f t="shared" si="170"/>
        <v>2.3523394494030591E-6</v>
      </c>
      <c r="AY168">
        <f t="shared" si="170"/>
        <v>1.5455080639939015E-6</v>
      </c>
      <c r="AZ168">
        <f t="shared" si="170"/>
        <v>9.8025753042493277E-7</v>
      </c>
      <c r="BA168">
        <f t="shared" si="170"/>
        <v>5.9872250343250728E-7</v>
      </c>
    </row>
    <row r="169" spans="1:53" x14ac:dyDescent="0.25">
      <c r="A169" s="1">
        <v>20</v>
      </c>
      <c r="B169" s="2">
        <f t="shared" si="153"/>
        <v>0.64268812622421878</v>
      </c>
      <c r="C169">
        <f t="shared" ref="C169:BA169" si="171">C53*$G$1+C111*$G$11</f>
        <v>4.3604944407590494E-4</v>
      </c>
      <c r="D169">
        <f t="shared" si="171"/>
        <v>7.4967048252016827E-4</v>
      </c>
      <c r="E169">
        <f t="shared" si="171"/>
        <v>1.2489488474840284E-3</v>
      </c>
      <c r="F169">
        <f t="shared" si="171"/>
        <v>2.0163153574384936E-3</v>
      </c>
      <c r="G169">
        <f t="shared" si="171"/>
        <v>3.1543641663045077E-3</v>
      </c>
      <c r="H169">
        <f t="shared" si="171"/>
        <v>4.7819471184871306E-3</v>
      </c>
      <c r="I169">
        <f t="shared" si="171"/>
        <v>7.0248535359343726E-3</v>
      </c>
      <c r="J169">
        <f t="shared" si="171"/>
        <v>1.000021517352904E-2</v>
      </c>
      <c r="K169">
        <f t="shared" si="171"/>
        <v>1.3794977033199053E-2</v>
      </c>
      <c r="L169">
        <f t="shared" si="171"/>
        <v>1.8440478450131786E-2</v>
      </c>
      <c r="M169">
        <f t="shared" si="171"/>
        <v>2.3887073958850098E-2</v>
      </c>
      <c r="N169">
        <f t="shared" si="171"/>
        <v>2.9984256868163847E-2</v>
      </c>
      <c r="O169">
        <f t="shared" si="171"/>
        <v>3.6472303367987187E-2</v>
      </c>
      <c r="P169">
        <f t="shared" si="171"/>
        <v>4.2990516218028609E-2</v>
      </c>
      <c r="Q169">
        <f t="shared" si="171"/>
        <v>4.9104545513073868E-2</v>
      </c>
      <c r="R169">
        <f t="shared" si="171"/>
        <v>5.435134556990099E-2</v>
      </c>
      <c r="S169">
        <f t="shared" si="171"/>
        <v>5.8295962490334668E-2</v>
      </c>
      <c r="T169">
        <f t="shared" si="171"/>
        <v>6.0590736791653006E-2</v>
      </c>
      <c r="U169">
        <f t="shared" si="171"/>
        <v>6.1025814799036938E-2</v>
      </c>
      <c r="V169">
        <f t="shared" si="171"/>
        <v>5.9560806942452464E-2</v>
      </c>
      <c r="W169">
        <f t="shared" si="171"/>
        <v>5.6330975486492407E-2</v>
      </c>
      <c r="X169">
        <f t="shared" si="171"/>
        <v>5.1626639147085984E-2</v>
      </c>
      <c r="Y169">
        <f t="shared" si="171"/>
        <v>4.5850141379830379E-2</v>
      </c>
      <c r="Z169">
        <f t="shared" si="171"/>
        <v>3.9459220894883053E-2</v>
      </c>
      <c r="AA169">
        <f t="shared" si="171"/>
        <v>3.2907804559650027E-2</v>
      </c>
      <c r="AB169">
        <f t="shared" si="171"/>
        <v>2.6594702050941658E-2</v>
      </c>
      <c r="AC169">
        <f t="shared" si="171"/>
        <v>2.0827817460280815E-2</v>
      </c>
      <c r="AD169">
        <f t="shared" si="171"/>
        <v>1.5807314916239226E-2</v>
      </c>
      <c r="AE169">
        <f t="shared" si="171"/>
        <v>1.162691965614867E-2</v>
      </c>
      <c r="AF169">
        <f t="shared" si="171"/>
        <v>8.2892602373088459E-3</v>
      </c>
      <c r="AG169">
        <f t="shared" si="171"/>
        <v>5.7294573262233603E-3</v>
      </c>
      <c r="AH169">
        <f t="shared" si="171"/>
        <v>3.8410911838874114E-3</v>
      </c>
      <c r="AI169">
        <f t="shared" si="171"/>
        <v>2.4998473101858249E-3</v>
      </c>
      <c r="AJ169">
        <f t="shared" si="171"/>
        <v>1.5819412822693172E-3</v>
      </c>
      <c r="AK169">
        <f t="shared" si="171"/>
        <v>9.762621568884458E-4</v>
      </c>
      <c r="AL169">
        <f t="shared" si="171"/>
        <v>5.9062303314504246E-4</v>
      </c>
      <c r="AM169">
        <f t="shared" si="171"/>
        <v>3.5337597006129459E-4</v>
      </c>
      <c r="AN169">
        <f t="shared" si="171"/>
        <v>2.1195301925887205E-4</v>
      </c>
      <c r="AO169">
        <f t="shared" si="171"/>
        <v>1.2978263682924241E-4</v>
      </c>
      <c r="AP169">
        <f t="shared" si="171"/>
        <v>8.26912893101484E-5</v>
      </c>
      <c r="AQ169">
        <f t="shared" si="171"/>
        <v>5.5500401846447469E-5</v>
      </c>
      <c r="AR169">
        <f t="shared" si="171"/>
        <v>3.9178719068889728E-5</v>
      </c>
      <c r="AS169">
        <f t="shared" si="171"/>
        <v>2.8658844685207189E-5</v>
      </c>
      <c r="AT169">
        <f t="shared" si="171"/>
        <v>2.1277566905404611E-5</v>
      </c>
      <c r="AU169">
        <f t="shared" si="171"/>
        <v>1.5730984782643476E-5</v>
      </c>
      <c r="AV169">
        <f t="shared" si="171"/>
        <v>1.1418826124158673E-5</v>
      </c>
      <c r="AW169">
        <f t="shared" si="171"/>
        <v>8.0630475943137903E-6</v>
      </c>
      <c r="AX169">
        <f t="shared" si="171"/>
        <v>5.5072360271183126E-6</v>
      </c>
      <c r="AY169">
        <f t="shared" si="171"/>
        <v>3.6264239897962472E-6</v>
      </c>
      <c r="AZ169">
        <f t="shared" si="171"/>
        <v>2.2977176609913633E-6</v>
      </c>
      <c r="BA169">
        <f t="shared" si="171"/>
        <v>1.399285305884428E-6</v>
      </c>
    </row>
    <row r="170" spans="1:53" x14ac:dyDescent="0.25">
      <c r="A170" s="1">
        <v>21</v>
      </c>
      <c r="B170" s="2">
        <f t="shared" si="153"/>
        <v>0.83387479414961607</v>
      </c>
      <c r="C170">
        <f t="shared" ref="C170:BA170" si="172">C54*$G$1+C112*$G$11</f>
        <v>3.4525122614426833E-4</v>
      </c>
      <c r="D170">
        <f t="shared" si="172"/>
        <v>5.9694154310541917E-4</v>
      </c>
      <c r="E170">
        <f t="shared" si="172"/>
        <v>1.0001564597926925E-3</v>
      </c>
      <c r="F170">
        <f t="shared" si="172"/>
        <v>1.6238415541838832E-3</v>
      </c>
      <c r="G170">
        <f t="shared" si="172"/>
        <v>2.5548118593297321E-3</v>
      </c>
      <c r="H170">
        <f t="shared" si="172"/>
        <v>3.8950565043574564E-3</v>
      </c>
      <c r="I170">
        <f t="shared" si="172"/>
        <v>5.7545075885590121E-3</v>
      </c>
      <c r="J170">
        <f t="shared" si="172"/>
        <v>8.238386031530983E-3</v>
      </c>
      <c r="K170">
        <f t="shared" si="172"/>
        <v>1.1429195861910959E-2</v>
      </c>
      <c r="L170">
        <f t="shared" si="172"/>
        <v>1.5364866055133109E-2</v>
      </c>
      <c r="M170">
        <f t="shared" si="172"/>
        <v>2.0016191536597783E-2</v>
      </c>
      <c r="N170">
        <f t="shared" si="172"/>
        <v>2.5268163836153386E-2</v>
      </c>
      <c r="O170">
        <f t="shared" si="172"/>
        <v>3.0910461337543538E-2</v>
      </c>
      <c r="P170">
        <f t="shared" si="172"/>
        <v>3.6641804854857615E-2</v>
      </c>
      <c r="Q170">
        <f t="shared" si="172"/>
        <v>4.2090859841586066E-2</v>
      </c>
      <c r="R170">
        <f t="shared" si="172"/>
        <v>4.6853097994532404E-2</v>
      </c>
      <c r="S170">
        <f t="shared" si="172"/>
        <v>5.0539205657599721E-2</v>
      </c>
      <c r="T170">
        <f t="shared" si="172"/>
        <v>5.2827263982864789E-2</v>
      </c>
      <c r="U170">
        <f t="shared" si="172"/>
        <v>5.3509079753936595E-2</v>
      </c>
      <c r="V170">
        <f t="shared" si="172"/>
        <v>5.252143819205151E-2</v>
      </c>
      <c r="W170">
        <f t="shared" si="172"/>
        <v>4.9955778458288788E-2</v>
      </c>
      <c r="X170">
        <f t="shared" si="172"/>
        <v>4.6044242316157322E-2</v>
      </c>
      <c r="Y170">
        <f t="shared" si="172"/>
        <v>4.1125048866498641E-2</v>
      </c>
      <c r="Z170">
        <f t="shared" si="172"/>
        <v>3.5594355282938639E-2</v>
      </c>
      <c r="AA170">
        <f t="shared" si="172"/>
        <v>2.9854085988746171E-2</v>
      </c>
      <c r="AB170">
        <f t="shared" si="172"/>
        <v>2.4265161569482677E-2</v>
      </c>
      <c r="AC170">
        <f t="shared" si="172"/>
        <v>1.9113362192271388E-2</v>
      </c>
      <c r="AD170">
        <f t="shared" si="172"/>
        <v>1.4591528584111403E-2</v>
      </c>
      <c r="AE170">
        <f t="shared" si="172"/>
        <v>1.0798012154996964E-2</v>
      </c>
      <c r="AF170">
        <f t="shared" si="172"/>
        <v>7.7482122565036603E-3</v>
      </c>
      <c r="AG170">
        <f t="shared" si="172"/>
        <v>5.3942879937916256E-3</v>
      </c>
      <c r="AH170">
        <f t="shared" si="172"/>
        <v>3.6478316745678389E-3</v>
      </c>
      <c r="AI170">
        <f t="shared" si="172"/>
        <v>2.4011574685357186E-3</v>
      </c>
      <c r="AJ170">
        <f t="shared" si="172"/>
        <v>1.544378106057195E-3</v>
      </c>
      <c r="AK170">
        <f t="shared" si="172"/>
        <v>9.7707555092332149E-4</v>
      </c>
      <c r="AL170">
        <f t="shared" si="172"/>
        <v>6.1471203264238218E-4</v>
      </c>
      <c r="AM170">
        <f t="shared" si="172"/>
        <v>3.9077292433310008E-4</v>
      </c>
      <c r="AN170">
        <f t="shared" si="172"/>
        <v>2.5597235281578075E-4</v>
      </c>
      <c r="AO170">
        <f t="shared" si="172"/>
        <v>1.7580390850375051E-4</v>
      </c>
      <c r="AP170">
        <f t="shared" si="172"/>
        <v>1.2744928029598401E-4</v>
      </c>
      <c r="AQ170">
        <f t="shared" si="172"/>
        <v>9.6719123720609705E-5</v>
      </c>
      <c r="AR170">
        <f t="shared" si="172"/>
        <v>7.5395526810217674E-5</v>
      </c>
      <c r="AS170">
        <f t="shared" si="172"/>
        <v>5.912115585443698E-5</v>
      </c>
      <c r="AT170">
        <f t="shared" si="172"/>
        <v>4.5841137964931069E-5</v>
      </c>
      <c r="AU170">
        <f t="shared" si="172"/>
        <v>3.4731835459825938E-5</v>
      </c>
      <c r="AV170">
        <f t="shared" si="172"/>
        <v>2.5522169797516255E-5</v>
      </c>
      <c r="AW170">
        <f t="shared" si="172"/>
        <v>1.8108785242757174E-5</v>
      </c>
      <c r="AX170">
        <f t="shared" si="172"/>
        <v>1.2374207124923872E-5</v>
      </c>
      <c r="AY170">
        <f t="shared" si="172"/>
        <v>8.1312008776618477E-6</v>
      </c>
      <c r="AZ170">
        <f t="shared" si="172"/>
        <v>5.1336969794074506E-6</v>
      </c>
      <c r="BA170">
        <f t="shared" si="172"/>
        <v>3.1126537646878397E-6</v>
      </c>
    </row>
    <row r="171" spans="1:53" x14ac:dyDescent="0.25">
      <c r="A171" s="1">
        <v>22</v>
      </c>
      <c r="B171" s="2">
        <f t="shared" si="153"/>
        <v>1.0250614620750138</v>
      </c>
      <c r="C171">
        <f t="shared" ref="C171:BA171" si="173">C55*$G$1+C113*$G$11</f>
        <v>2.6343170423972801E-4</v>
      </c>
      <c r="D171">
        <f t="shared" si="173"/>
        <v>4.5806437410925307E-4</v>
      </c>
      <c r="E171">
        <f t="shared" si="173"/>
        <v>7.7183515641535388E-4</v>
      </c>
      <c r="F171">
        <f t="shared" si="173"/>
        <v>1.2602658352557604E-3</v>
      </c>
      <c r="G171">
        <f t="shared" si="173"/>
        <v>1.9940651149514565E-3</v>
      </c>
      <c r="H171">
        <f t="shared" si="173"/>
        <v>3.0574268466425965E-3</v>
      </c>
      <c r="I171">
        <f t="shared" si="173"/>
        <v>4.5426824564203244E-3</v>
      </c>
      <c r="J171">
        <f t="shared" si="173"/>
        <v>6.5404593515093626E-3</v>
      </c>
      <c r="K171">
        <f t="shared" si="173"/>
        <v>9.125227240424201E-3</v>
      </c>
      <c r="L171">
        <f t="shared" si="173"/>
        <v>1.2337259278193921E-2</v>
      </c>
      <c r="M171">
        <f t="shared" si="173"/>
        <v>1.616342014996577E-2</v>
      </c>
      <c r="N171">
        <f t="shared" si="173"/>
        <v>2.0520474521241672E-2</v>
      </c>
      <c r="O171">
        <f t="shared" si="173"/>
        <v>2.5245333067594706E-2</v>
      </c>
      <c r="P171">
        <f t="shared" si="173"/>
        <v>3.0096388296465541E-2</v>
      </c>
      <c r="Q171">
        <f t="shared" si="173"/>
        <v>3.4768602537559895E-2</v>
      </c>
      <c r="R171">
        <f t="shared" si="173"/>
        <v>3.8922406186017007E-2</v>
      </c>
      <c r="S171">
        <f t="shared" si="173"/>
        <v>4.2223258655396306E-2</v>
      </c>
      <c r="T171">
        <f t="shared" si="173"/>
        <v>4.4385743976658523E-2</v>
      </c>
      <c r="U171">
        <f t="shared" si="173"/>
        <v>4.5214225190257848E-2</v>
      </c>
      <c r="V171">
        <f t="shared" si="173"/>
        <v>4.4632048848344735E-2</v>
      </c>
      <c r="W171">
        <f t="shared" si="173"/>
        <v>4.2693262906189931E-2</v>
      </c>
      <c r="X171">
        <f t="shared" si="173"/>
        <v>3.9574371769510966E-2</v>
      </c>
      <c r="Y171">
        <f t="shared" si="173"/>
        <v>3.554787908177811E-2</v>
      </c>
      <c r="Z171">
        <f t="shared" si="173"/>
        <v>3.0943122512177724E-2</v>
      </c>
      <c r="AA171">
        <f t="shared" si="173"/>
        <v>2.6102200168129749E-2</v>
      </c>
      <c r="AB171">
        <f t="shared" si="173"/>
        <v>2.1339107252318808E-2</v>
      </c>
      <c r="AC171">
        <f t="shared" si="173"/>
        <v>1.6908631244629432E-2</v>
      </c>
      <c r="AD171">
        <f t="shared" si="173"/>
        <v>1.2988708068049916E-2</v>
      </c>
      <c r="AE171">
        <f t="shared" si="173"/>
        <v>9.6767132359420506E-3</v>
      </c>
      <c r="AF171">
        <f t="shared" si="173"/>
        <v>6.9974131694285676E-3</v>
      </c>
      <c r="AG171">
        <f t="shared" si="173"/>
        <v>4.9186113051740169E-3</v>
      </c>
      <c r="AH171">
        <f t="shared" si="173"/>
        <v>3.3700686407121755E-3</v>
      </c>
      <c r="AI171">
        <f t="shared" si="173"/>
        <v>2.2618684859274821E-3</v>
      </c>
      <c r="AJ171">
        <f t="shared" si="173"/>
        <v>1.4996135608110115E-3</v>
      </c>
      <c r="AK171">
        <f t="shared" si="173"/>
        <v>9.952244109285946E-4</v>
      </c>
      <c r="AL171">
        <f t="shared" si="173"/>
        <v>6.7328229068189293E-4</v>
      </c>
      <c r="AM171">
        <f t="shared" si="173"/>
        <v>4.7362951359399832E-4</v>
      </c>
      <c r="AN171">
        <f t="shared" si="173"/>
        <v>3.5127955381167796E-4</v>
      </c>
      <c r="AO171">
        <f t="shared" si="173"/>
        <v>2.7469112346053816E-4</v>
      </c>
      <c r="AP171">
        <f t="shared" si="173"/>
        <v>2.2326718374389551E-4</v>
      </c>
      <c r="AQ171">
        <f t="shared" si="173"/>
        <v>1.8468245616150739E-4</v>
      </c>
      <c r="AR171">
        <f t="shared" si="173"/>
        <v>1.5240806351401475E-4</v>
      </c>
      <c r="AS171">
        <f t="shared" si="173"/>
        <v>1.2362602127183824E-4</v>
      </c>
      <c r="AT171">
        <f t="shared" si="173"/>
        <v>9.760952771709678E-5</v>
      </c>
      <c r="AU171">
        <f t="shared" si="173"/>
        <v>7.4571027549908997E-5</v>
      </c>
      <c r="AV171">
        <f t="shared" si="173"/>
        <v>5.4932248035676222E-5</v>
      </c>
      <c r="AW171">
        <f t="shared" si="173"/>
        <v>3.8939526720325987E-5</v>
      </c>
      <c r="AX171">
        <f t="shared" si="173"/>
        <v>2.65314156426324E-5</v>
      </c>
      <c r="AY171">
        <f t="shared" si="173"/>
        <v>1.7364042561621069E-5</v>
      </c>
      <c r="AZ171">
        <f t="shared" si="173"/>
        <v>1.0911835904716313E-5</v>
      </c>
      <c r="BA171">
        <f t="shared" si="173"/>
        <v>6.5827385089610766E-6</v>
      </c>
    </row>
    <row r="172" spans="1:53" x14ac:dyDescent="0.25">
      <c r="A172" s="1">
        <v>23</v>
      </c>
      <c r="B172" s="2">
        <f t="shared" si="153"/>
        <v>1.2162481300004115</v>
      </c>
      <c r="C172">
        <f t="shared" ref="C172:BA172" si="174">C56*$G$1+C114*$G$11</f>
        <v>1.9370203026165781E-4</v>
      </c>
      <c r="D172">
        <f t="shared" si="174"/>
        <v>3.3873069037059769E-4</v>
      </c>
      <c r="E172">
        <f t="shared" si="174"/>
        <v>5.7400343045215614E-4</v>
      </c>
      <c r="F172">
        <f t="shared" si="174"/>
        <v>9.4257082841889056E-4</v>
      </c>
      <c r="G172">
        <f t="shared" si="174"/>
        <v>1.4998680970578304E-3</v>
      </c>
      <c r="H172">
        <f t="shared" si="174"/>
        <v>2.3127660662992902E-3</v>
      </c>
      <c r="I172">
        <f t="shared" si="174"/>
        <v>3.4558104358387064E-3</v>
      </c>
      <c r="J172">
        <f t="shared" si="174"/>
        <v>5.0038891832125815E-3</v>
      </c>
      <c r="K172">
        <f t="shared" si="174"/>
        <v>7.0210977738988439E-3</v>
      </c>
      <c r="L172">
        <f t="shared" si="174"/>
        <v>9.5464505079794863E-3</v>
      </c>
      <c r="M172">
        <f t="shared" si="174"/>
        <v>1.2578197139521323E-2</v>
      </c>
      <c r="N172">
        <f t="shared" si="174"/>
        <v>1.6059589426796091E-2</v>
      </c>
      <c r="O172">
        <f t="shared" si="174"/>
        <v>1.9869642435016776E-2</v>
      </c>
      <c r="P172">
        <f t="shared" si="174"/>
        <v>2.3822385425826452E-2</v>
      </c>
      <c r="Q172">
        <f t="shared" si="174"/>
        <v>2.7677065536071188E-2</v>
      </c>
      <c r="R172">
        <f t="shared" si="174"/>
        <v>3.1159786900677004E-2</v>
      </c>
      <c r="S172">
        <f t="shared" si="174"/>
        <v>3.3994499182028265E-2</v>
      </c>
      <c r="T172">
        <f t="shared" si="174"/>
        <v>3.5938731299393463E-2</v>
      </c>
      <c r="U172">
        <f t="shared" si="174"/>
        <v>3.6817744174202902E-2</v>
      </c>
      <c r="V172">
        <f t="shared" si="174"/>
        <v>3.6550457999583535E-2</v>
      </c>
      <c r="W172">
        <f t="shared" si="174"/>
        <v>3.5161833253428296E-2</v>
      </c>
      <c r="X172">
        <f t="shared" si="174"/>
        <v>3.2779098983103015E-2</v>
      </c>
      <c r="Y172">
        <f t="shared" si="174"/>
        <v>2.9612635236356787E-2</v>
      </c>
      <c r="Z172">
        <f t="shared" si="174"/>
        <v>2.592550974307465E-2</v>
      </c>
      <c r="AA172">
        <f t="shared" si="174"/>
        <v>2.1997794647881021E-2</v>
      </c>
      <c r="AB172">
        <f t="shared" si="174"/>
        <v>1.8092343831763155E-2</v>
      </c>
      <c r="AC172">
        <f t="shared" si="174"/>
        <v>1.4427678738415006E-2</v>
      </c>
      <c r="AD172">
        <f t="shared" si="174"/>
        <v>1.1161448230707006E-2</v>
      </c>
      <c r="AE172">
        <f t="shared" si="174"/>
        <v>8.3853039496105102E-3</v>
      </c>
      <c r="AF172">
        <f t="shared" si="174"/>
        <v>6.1296933113746104E-3</v>
      </c>
      <c r="AG172">
        <f t="shared" si="174"/>
        <v>4.3755398524928345E-3</v>
      </c>
      <c r="AH172">
        <f t="shared" si="174"/>
        <v>3.0692539615747483E-3</v>
      </c>
      <c r="AI172">
        <f t="shared" si="174"/>
        <v>2.1378790073899425E-3</v>
      </c>
      <c r="AJ172">
        <f t="shared" si="174"/>
        <v>1.5021020939397427E-3</v>
      </c>
      <c r="AK172">
        <f t="shared" si="174"/>
        <v>1.0859579685687779E-3</v>
      </c>
      <c r="AL172">
        <f t="shared" si="174"/>
        <v>8.2301154450257021E-4</v>
      </c>
      <c r="AM172">
        <f t="shared" si="174"/>
        <v>6.5944454543131808E-4</v>
      </c>
      <c r="AN172">
        <f t="shared" si="174"/>
        <v>5.5476953755016713E-4</v>
      </c>
      <c r="AO172">
        <f t="shared" si="174"/>
        <v>4.8092953791610354E-4</v>
      </c>
      <c r="AP172">
        <f t="shared" si="174"/>
        <v>4.2043301090377447E-4</v>
      </c>
      <c r="AQ172">
        <f t="shared" si="174"/>
        <v>3.6402598838958472E-4</v>
      </c>
      <c r="AR172">
        <f t="shared" si="174"/>
        <v>3.0827355755226864E-4</v>
      </c>
      <c r="AS172">
        <f t="shared" si="174"/>
        <v>2.5332479605088008E-4</v>
      </c>
      <c r="AT172">
        <f t="shared" si="174"/>
        <v>2.010546407717752E-4</v>
      </c>
      <c r="AU172">
        <f t="shared" si="174"/>
        <v>1.5369615452211717E-4</v>
      </c>
      <c r="AV172">
        <f t="shared" si="174"/>
        <v>1.129921149500825E-4</v>
      </c>
      <c r="AW172">
        <f t="shared" si="174"/>
        <v>7.9814898270430008E-5</v>
      </c>
      <c r="AX172">
        <f t="shared" si="174"/>
        <v>5.414398795882525E-5</v>
      </c>
      <c r="AY172">
        <f t="shared" si="174"/>
        <v>3.5263103998746847E-5</v>
      </c>
      <c r="AZ172">
        <f t="shared" si="174"/>
        <v>2.2045594121901622E-5</v>
      </c>
      <c r="BA172">
        <f t="shared" si="174"/>
        <v>1.3228528135660543E-5</v>
      </c>
    </row>
    <row r="173" spans="1:53" x14ac:dyDescent="0.25">
      <c r="A173" s="1">
        <v>24</v>
      </c>
      <c r="B173" s="2">
        <f t="shared" si="153"/>
        <v>1.4074347979258093</v>
      </c>
      <c r="C173">
        <f t="shared" ref="C173:BA173" si="175">C57*$G$1+C115*$G$11</f>
        <v>1.3725672219458475E-4</v>
      </c>
      <c r="D173">
        <f t="shared" si="175"/>
        <v>2.4138812315355768E-4</v>
      </c>
      <c r="E173">
        <f t="shared" si="175"/>
        <v>4.1137485173386637E-4</v>
      </c>
      <c r="F173">
        <f t="shared" si="175"/>
        <v>6.7935870663069192E-4</v>
      </c>
      <c r="G173">
        <f t="shared" si="175"/>
        <v>1.0871766562912228E-3</v>
      </c>
      <c r="H173">
        <f t="shared" si="175"/>
        <v>1.6859343448139415E-3</v>
      </c>
      <c r="I173">
        <f t="shared" si="175"/>
        <v>2.5334991527869756E-3</v>
      </c>
      <c r="J173">
        <f t="shared" si="175"/>
        <v>3.689269957356911E-3</v>
      </c>
      <c r="K173">
        <f t="shared" si="175"/>
        <v>5.20594618111058E-3</v>
      </c>
      <c r="L173">
        <f t="shared" si="175"/>
        <v>7.1186637692917708E-3</v>
      </c>
      <c r="M173">
        <f t="shared" si="175"/>
        <v>9.4327181403158957E-3</v>
      </c>
      <c r="N173">
        <f t="shared" si="175"/>
        <v>1.2111970640723963E-2</v>
      </c>
      <c r="O173">
        <f t="shared" si="175"/>
        <v>1.5070662637970519E-2</v>
      </c>
      <c r="P173">
        <f t="shared" si="175"/>
        <v>1.8171446463103119E-2</v>
      </c>
      <c r="Q173">
        <f t="shared" si="175"/>
        <v>2.1231775704152116E-2</v>
      </c>
      <c r="R173">
        <f t="shared" si="175"/>
        <v>2.4039361333161671E-2</v>
      </c>
      <c r="S173">
        <f t="shared" si="175"/>
        <v>2.6375432072090154E-2</v>
      </c>
      <c r="T173">
        <f t="shared" si="175"/>
        <v>2.8042507509484674E-2</v>
      </c>
      <c r="U173">
        <f t="shared" si="175"/>
        <v>2.8891885214813791E-2</v>
      </c>
      <c r="V173">
        <f t="shared" si="175"/>
        <v>2.8845570301209243E-2</v>
      </c>
      <c r="W173">
        <f t="shared" si="175"/>
        <v>2.7908187230612308E-2</v>
      </c>
      <c r="X173">
        <f t="shared" si="175"/>
        <v>2.6166381376285755E-2</v>
      </c>
      <c r="Y173">
        <f t="shared" si="175"/>
        <v>2.3775850492133752E-2</v>
      </c>
      <c r="Z173">
        <f t="shared" si="175"/>
        <v>2.0938736085109984E-2</v>
      </c>
      <c r="AA173">
        <f t="shared" si="175"/>
        <v>1.7875957781457442E-2</v>
      </c>
      <c r="AB173">
        <f t="shared" si="175"/>
        <v>1.4799735341794136E-2</v>
      </c>
      <c r="AC173">
        <f t="shared" si="175"/>
        <v>1.1890932987231298E-2</v>
      </c>
      <c r="AD173">
        <f t="shared" si="175"/>
        <v>9.2842725173084926E-3</v>
      </c>
      <c r="AE173">
        <f t="shared" si="175"/>
        <v>7.0624333992459886E-3</v>
      </c>
      <c r="AF173">
        <f t="shared" si="175"/>
        <v>5.2581746970249308E-3</v>
      </c>
      <c r="AG173">
        <f t="shared" si="175"/>
        <v>3.8623197799054717E-3</v>
      </c>
      <c r="AH173">
        <f t="shared" si="175"/>
        <v>2.8349314375555493E-3</v>
      </c>
      <c r="AI173">
        <f t="shared" si="175"/>
        <v>2.117201356859577E-3</v>
      </c>
      <c r="AJ173">
        <f t="shared" si="175"/>
        <v>1.6422305261096287E-3</v>
      </c>
      <c r="AK173">
        <f t="shared" si="175"/>
        <v>1.3436743897198662E-3</v>
      </c>
      <c r="AL173">
        <f t="shared" si="175"/>
        <v>1.161914155665162E-3</v>
      </c>
      <c r="AM173">
        <f t="shared" si="175"/>
        <v>1.047863805852158E-3</v>
      </c>
      <c r="AN173">
        <f t="shared" si="175"/>
        <v>9.6473064553701231E-4</v>
      </c>
      <c r="AO173">
        <f t="shared" si="175"/>
        <v>8.8809921845038316E-4</v>
      </c>
      <c r="AP173">
        <f t="shared" si="175"/>
        <v>8.0470604696750278E-4</v>
      </c>
      <c r="AQ173">
        <f t="shared" si="175"/>
        <v>7.1028255318201648E-4</v>
      </c>
      <c r="AR173">
        <f t="shared" si="175"/>
        <v>6.068759524416827E-4</v>
      </c>
      <c r="AS173">
        <f t="shared" si="175"/>
        <v>5.0008033049366658E-4</v>
      </c>
      <c r="AT173">
        <f t="shared" si="175"/>
        <v>3.9658045792045384E-4</v>
      </c>
      <c r="AU173">
        <f t="shared" si="175"/>
        <v>3.023092318353182E-4</v>
      </c>
      <c r="AV173">
        <f t="shared" si="175"/>
        <v>2.2136172137980842E-4</v>
      </c>
      <c r="AW173">
        <f t="shared" si="175"/>
        <v>1.5563770063422902E-4</v>
      </c>
      <c r="AX173">
        <f t="shared" si="175"/>
        <v>1.0504871533911656E-4</v>
      </c>
      <c r="AY173">
        <f t="shared" si="175"/>
        <v>6.8057182078713844E-5</v>
      </c>
      <c r="AZ173">
        <f t="shared" si="175"/>
        <v>4.2318630729169905E-5</v>
      </c>
      <c r="BA173">
        <f t="shared" si="175"/>
        <v>2.525482595169435E-5</v>
      </c>
    </row>
    <row r="174" spans="1:53" x14ac:dyDescent="0.25">
      <c r="A174" s="1">
        <v>25</v>
      </c>
      <c r="B174" s="2">
        <f t="shared" si="153"/>
        <v>1.598621465851207</v>
      </c>
      <c r="C174">
        <f t="shared" ref="C174:BA174" si="176">C58*$G$1+C116*$G$11</f>
        <v>9.3727361910163221E-5</v>
      </c>
      <c r="D174">
        <f t="shared" si="176"/>
        <v>1.6577176753087213E-4</v>
      </c>
      <c r="E174">
        <f t="shared" si="176"/>
        <v>2.8411509545198137E-4</v>
      </c>
      <c r="F174">
        <f t="shared" si="176"/>
        <v>4.7186483790442689E-4</v>
      </c>
      <c r="G174">
        <f t="shared" si="176"/>
        <v>7.5941730512428854E-4</v>
      </c>
      <c r="H174">
        <f t="shared" si="176"/>
        <v>1.1843578117476294E-3</v>
      </c>
      <c r="I174">
        <f t="shared" si="176"/>
        <v>1.7898842026127897E-3</v>
      </c>
      <c r="J174">
        <f t="shared" si="176"/>
        <v>2.6212383196733066E-3</v>
      </c>
      <c r="K174">
        <f t="shared" si="176"/>
        <v>3.7198690347309011E-3</v>
      </c>
      <c r="L174">
        <f t="shared" si="176"/>
        <v>5.1155032299723645E-3</v>
      </c>
      <c r="M174">
        <f t="shared" si="176"/>
        <v>6.8169271821966089E-3</v>
      </c>
      <c r="N174">
        <f t="shared" si="176"/>
        <v>8.8029561912952841E-3</v>
      </c>
      <c r="O174">
        <f t="shared" si="176"/>
        <v>1.1015597386407155E-2</v>
      </c>
      <c r="P174">
        <f t="shared" si="176"/>
        <v>1.3357564232796033E-2</v>
      </c>
      <c r="Q174">
        <f t="shared" si="176"/>
        <v>1.5695904731751795E-2</v>
      </c>
      <c r="R174">
        <f t="shared" si="176"/>
        <v>1.787251424996263E-2</v>
      </c>
      <c r="S174">
        <f t="shared" si="176"/>
        <v>1.9720862618159331E-2</v>
      </c>
      <c r="T174">
        <f t="shared" si="176"/>
        <v>2.1086703098900487E-2</v>
      </c>
      <c r="U174">
        <f t="shared" si="176"/>
        <v>2.1849285115489888E-2</v>
      </c>
      <c r="V174">
        <f t="shared" si="176"/>
        <v>2.1939072317444224E-2</v>
      </c>
      <c r="W174">
        <f t="shared" si="176"/>
        <v>2.1348405702825597E-2</v>
      </c>
      <c r="X174">
        <f t="shared" si="176"/>
        <v>2.0132903675602186E-2</v>
      </c>
      <c r="Y174">
        <f t="shared" si="176"/>
        <v>1.8403326647997029E-2</v>
      </c>
      <c r="Z174">
        <f t="shared" si="176"/>
        <v>1.6309632803529098E-2</v>
      </c>
      <c r="AA174">
        <f t="shared" si="176"/>
        <v>1.4020472708912587E-2</v>
      </c>
      <c r="AB174">
        <f t="shared" si="176"/>
        <v>1.1702029868854056E-2</v>
      </c>
      <c r="AC174">
        <f t="shared" si="176"/>
        <v>9.4998054256547112E-3</v>
      </c>
      <c r="AD174">
        <f t="shared" si="176"/>
        <v>7.5258556422248624E-3</v>
      </c>
      <c r="AE174">
        <f t="shared" si="176"/>
        <v>5.8525156757785034E-3</v>
      </c>
      <c r="AF174">
        <f t="shared" si="176"/>
        <v>4.5122336867434174E-3</v>
      </c>
      <c r="AG174">
        <f t="shared" si="176"/>
        <v>3.502148518670803E-3</v>
      </c>
      <c r="AH174">
        <f t="shared" si="176"/>
        <v>2.7916266404040143E-3</v>
      </c>
      <c r="AI174">
        <f t="shared" si="176"/>
        <v>2.3310710420317267E-3</v>
      </c>
      <c r="AJ174">
        <f t="shared" si="176"/>
        <v>2.0607194471640947E-3</v>
      </c>
      <c r="AK174">
        <f t="shared" si="176"/>
        <v>1.9186161751238782E-3</v>
      </c>
      <c r="AL174">
        <f t="shared" si="176"/>
        <v>1.8472920140301787E-3</v>
      </c>
      <c r="AM174">
        <f t="shared" si="176"/>
        <v>1.7988636758312945E-3</v>
      </c>
      <c r="AN174">
        <f t="shared" si="176"/>
        <v>1.7383281198825541E-3</v>
      </c>
      <c r="AO174">
        <f t="shared" si="176"/>
        <v>1.6448908024152592E-3</v>
      </c>
      <c r="AP174">
        <f t="shared" si="176"/>
        <v>1.5113205799168854E-3</v>
      </c>
      <c r="AQ174">
        <f t="shared" si="176"/>
        <v>1.3415795733551124E-3</v>
      </c>
      <c r="AR174">
        <f t="shared" si="176"/>
        <v>1.1472628854290456E-3</v>
      </c>
      <c r="AS174">
        <f t="shared" si="176"/>
        <v>9.4358862304881467E-4</v>
      </c>
      <c r="AT174">
        <f t="shared" si="176"/>
        <v>7.4571211276981296E-4</v>
      </c>
      <c r="AU174">
        <f t="shared" si="176"/>
        <v>5.6597691018776439E-4</v>
      </c>
      <c r="AV174">
        <f t="shared" si="176"/>
        <v>4.1241470590253781E-4</v>
      </c>
      <c r="AW174">
        <f t="shared" si="176"/>
        <v>2.8847101526831065E-4</v>
      </c>
      <c r="AX174">
        <f t="shared" si="176"/>
        <v>1.9366862083503779E-4</v>
      </c>
      <c r="AY174">
        <f t="shared" si="176"/>
        <v>1.2479004942483277E-4</v>
      </c>
      <c r="AZ174">
        <f t="shared" si="176"/>
        <v>7.7170146557235431E-5</v>
      </c>
      <c r="BA174">
        <f t="shared" si="176"/>
        <v>4.5799263945855481E-5</v>
      </c>
    </row>
    <row r="175" spans="1:53" x14ac:dyDescent="0.25">
      <c r="A175" s="1">
        <v>26</v>
      </c>
      <c r="B175" s="2">
        <f t="shared" si="153"/>
        <v>1.7898081337766039</v>
      </c>
      <c r="C175">
        <f t="shared" ref="C175:BA175" si="177">C59*$G$1+C117*$G$11</f>
        <v>6.1678312458729478E-5</v>
      </c>
      <c r="D175">
        <f t="shared" si="177"/>
        <v>1.0970806563192158E-4</v>
      </c>
      <c r="E175">
        <f t="shared" si="177"/>
        <v>1.8909680836084878E-4</v>
      </c>
      <c r="F175">
        <f t="shared" si="177"/>
        <v>3.1584165453110144E-4</v>
      </c>
      <c r="G175">
        <f t="shared" si="177"/>
        <v>5.1120392506154679E-4</v>
      </c>
      <c r="H175">
        <f t="shared" si="177"/>
        <v>8.017860947606213E-4</v>
      </c>
      <c r="I175">
        <f t="shared" si="177"/>
        <v>1.2186035191181484E-3</v>
      </c>
      <c r="J175">
        <f t="shared" si="177"/>
        <v>1.7947580301693534E-3</v>
      </c>
      <c r="K175">
        <f t="shared" si="177"/>
        <v>2.5614681244816874E-3</v>
      </c>
      <c r="L175">
        <f t="shared" si="177"/>
        <v>3.542514113759766E-3</v>
      </c>
      <c r="M175">
        <f t="shared" si="177"/>
        <v>4.7475967757280727E-3</v>
      </c>
      <c r="N175">
        <f t="shared" si="177"/>
        <v>6.1656052088767078E-3</v>
      </c>
      <c r="O175">
        <f t="shared" si="177"/>
        <v>7.7592072098212712E-3</v>
      </c>
      <c r="P175">
        <f t="shared" si="177"/>
        <v>9.4623488504800065E-3</v>
      </c>
      <c r="Q175">
        <f t="shared" si="177"/>
        <v>1.1182038840565343E-2</v>
      </c>
      <c r="R175">
        <f t="shared" si="177"/>
        <v>1.2805143961897521E-2</v>
      </c>
      <c r="S175">
        <f t="shared" si="177"/>
        <v>1.4209913870942328E-2</v>
      </c>
      <c r="T175">
        <f t="shared" si="177"/>
        <v>1.5280806237129633E-2</v>
      </c>
      <c r="U175">
        <f t="shared" si="177"/>
        <v>1.5924208280531142E-2</v>
      </c>
      <c r="V175">
        <f t="shared" si="177"/>
        <v>1.6082158640868482E-2</v>
      </c>
      <c r="W175">
        <f t="shared" si="177"/>
        <v>1.574136301474835E-2</v>
      </c>
      <c r="X175">
        <f t="shared" si="177"/>
        <v>1.4935672047690475E-2</v>
      </c>
      <c r="Y175">
        <f t="shared" si="177"/>
        <v>1.3741540166300361E-2</v>
      </c>
      <c r="Z175">
        <f t="shared" si="177"/>
        <v>1.2267443723910068E-2</v>
      </c>
      <c r="AA175">
        <f t="shared" si="177"/>
        <v>1.0639404706577297E-2</v>
      </c>
      <c r="AB175">
        <f t="shared" si="177"/>
        <v>8.9853412447043948E-3</v>
      </c>
      <c r="AC175">
        <f t="shared" si="177"/>
        <v>7.4208468689878323E-3</v>
      </c>
      <c r="AD175">
        <f t="shared" si="177"/>
        <v>6.0383091212832044E-3</v>
      </c>
      <c r="AE175">
        <f t="shared" si="177"/>
        <v>4.9003012176768671E-3</v>
      </c>
      <c r="AF175">
        <f t="shared" si="177"/>
        <v>4.03725090761212E-3</v>
      </c>
      <c r="AG175">
        <f t="shared" si="177"/>
        <v>3.448760891721948E-3</v>
      </c>
      <c r="AH175">
        <f t="shared" si="177"/>
        <v>3.1077122905413504E-3</v>
      </c>
      <c r="AI175">
        <f t="shared" si="177"/>
        <v>2.9663394856658774E-3</v>
      </c>
      <c r="AJ175">
        <f t="shared" si="177"/>
        <v>2.9636269994204371E-3</v>
      </c>
      <c r="AK175">
        <f t="shared" si="177"/>
        <v>3.0334566078697917E-3</v>
      </c>
      <c r="AL175">
        <f t="shared" si="177"/>
        <v>3.1128401252327157E-3</v>
      </c>
      <c r="AM175">
        <f t="shared" si="177"/>
        <v>3.1493713500050672E-3</v>
      </c>
      <c r="AN175">
        <f t="shared" si="177"/>
        <v>3.1068885062616727E-3</v>
      </c>
      <c r="AO175">
        <f t="shared" si="177"/>
        <v>2.9684338138283146E-3</v>
      </c>
      <c r="AP175">
        <f t="shared" si="177"/>
        <v>2.7360087419510035E-3</v>
      </c>
      <c r="AQ175">
        <f t="shared" si="177"/>
        <v>2.4272756986796398E-3</v>
      </c>
      <c r="AR175">
        <f t="shared" si="177"/>
        <v>2.0700424602869021E-3</v>
      </c>
      <c r="AS175">
        <f t="shared" si="177"/>
        <v>1.6958410304937787E-3</v>
      </c>
      <c r="AT175">
        <f t="shared" si="177"/>
        <v>1.3340105360416449E-3</v>
      </c>
      <c r="AU175">
        <f t="shared" si="177"/>
        <v>1.0073961996862589E-3</v>
      </c>
      <c r="AV175">
        <f t="shared" si="177"/>
        <v>7.3021383487708788E-4</v>
      </c>
      <c r="AW175">
        <f t="shared" si="177"/>
        <v>5.0801294574436299E-4</v>
      </c>
      <c r="AX175">
        <f t="shared" si="177"/>
        <v>3.3919917014208238E-4</v>
      </c>
      <c r="AY175">
        <f t="shared" si="177"/>
        <v>2.1735941852364245E-4</v>
      </c>
      <c r="AZ175">
        <f t="shared" si="177"/>
        <v>1.3367153623341138E-4</v>
      </c>
      <c r="BA175">
        <f t="shared" si="177"/>
        <v>7.889183945405156E-5</v>
      </c>
    </row>
    <row r="176" spans="1:53" x14ac:dyDescent="0.25">
      <c r="A176" s="1">
        <v>27</v>
      </c>
      <c r="B176" s="2">
        <f t="shared" si="153"/>
        <v>1.9809948017020016</v>
      </c>
      <c r="C176">
        <f t="shared" ref="C176:BA176" si="178">C60*$G$1+C118*$G$11</f>
        <v>3.9113969389429022E-5</v>
      </c>
      <c r="D176">
        <f t="shared" si="178"/>
        <v>6.996806551416517E-5</v>
      </c>
      <c r="E176">
        <f t="shared" si="178"/>
        <v>1.2128508810274823E-4</v>
      </c>
      <c r="F176">
        <f t="shared" si="178"/>
        <v>2.0372977982680032E-4</v>
      </c>
      <c r="G176">
        <f t="shared" si="178"/>
        <v>3.316203631722841E-4</v>
      </c>
      <c r="H176">
        <f t="shared" si="178"/>
        <v>5.2307917886810986E-4</v>
      </c>
      <c r="I176">
        <f t="shared" si="178"/>
        <v>7.9952720625579312E-4</v>
      </c>
      <c r="J176">
        <f t="shared" si="178"/>
        <v>1.1842370265026656E-3</v>
      </c>
      <c r="K176">
        <f t="shared" si="178"/>
        <v>1.6997443781618837E-3</v>
      </c>
      <c r="L176">
        <f t="shared" si="178"/>
        <v>2.3641128729557999E-3</v>
      </c>
      <c r="M176">
        <f t="shared" si="178"/>
        <v>3.1863426778425104E-3</v>
      </c>
      <c r="N176">
        <f t="shared" si="178"/>
        <v>4.161563891035943E-3</v>
      </c>
      <c r="O176">
        <f t="shared" si="178"/>
        <v>5.2669689455770753E-3</v>
      </c>
      <c r="P176">
        <f t="shared" si="178"/>
        <v>6.459600781298226E-3</v>
      </c>
      <c r="Q176">
        <f t="shared" si="178"/>
        <v>7.6770196361081317E-3</v>
      </c>
      <c r="R176">
        <f t="shared" si="178"/>
        <v>8.8414694563033799E-3</v>
      </c>
      <c r="S176">
        <f t="shared" si="178"/>
        <v>9.8674931821911126E-3</v>
      </c>
      <c r="T176">
        <f t="shared" si="178"/>
        <v>1.067214292525745E-2</v>
      </c>
      <c r="U176">
        <f t="shared" si="178"/>
        <v>1.1186208111206233E-2</v>
      </c>
      <c r="V176">
        <f t="shared" si="178"/>
        <v>1.1364465162095057E-2</v>
      </c>
      <c r="W176">
        <f t="shared" si="178"/>
        <v>1.1192992485182268E-2</v>
      </c>
      <c r="X176">
        <f t="shared" si="178"/>
        <v>1.0692119325168654E-2</v>
      </c>
      <c r="Y176">
        <f t="shared" si="178"/>
        <v>9.9144581545495165E-3</v>
      </c>
      <c r="Z176">
        <f t="shared" si="178"/>
        <v>8.9384614349065188E-3</v>
      </c>
      <c r="AA176">
        <f t="shared" si="178"/>
        <v>7.8587638347939661E-3</v>
      </c>
      <c r="AB176">
        <f t="shared" si="178"/>
        <v>6.7750059238712969E-3</v>
      </c>
      <c r="AC176">
        <f t="shared" si="178"/>
        <v>5.7808153639952453E-3</v>
      </c>
      <c r="AD176">
        <f t="shared" si="178"/>
        <v>4.9542430565917726E-3</v>
      </c>
      <c r="AE176">
        <f t="shared" si="178"/>
        <v>4.3504289457016818E-3</v>
      </c>
      <c r="AF176">
        <f t="shared" si="178"/>
        <v>3.9968377895636936E-3</v>
      </c>
      <c r="AG176">
        <f t="shared" si="178"/>
        <v>3.8912007373398776E-3</v>
      </c>
      <c r="AH176">
        <f t="shared" si="178"/>
        <v>4.0023069060703756E-3</v>
      </c>
      <c r="AI176">
        <f t="shared" si="178"/>
        <v>4.2738457430416838E-3</v>
      </c>
      <c r="AJ176">
        <f t="shared" si="178"/>
        <v>4.6313857028791316E-3</v>
      </c>
      <c r="AK176">
        <f t="shared" si="178"/>
        <v>4.9921454753328485E-3</v>
      </c>
      <c r="AL176">
        <f t="shared" si="178"/>
        <v>5.276513064167346E-3</v>
      </c>
      <c r="AM176">
        <f t="shared" si="178"/>
        <v>5.4195388044177353E-3</v>
      </c>
      <c r="AN176">
        <f t="shared" si="178"/>
        <v>5.3802189946608311E-3</v>
      </c>
      <c r="AO176">
        <f t="shared" si="178"/>
        <v>5.1465797306684286E-3</v>
      </c>
      <c r="AP176">
        <f t="shared" si="178"/>
        <v>4.7354240299982689E-3</v>
      </c>
      <c r="AQ176">
        <f t="shared" si="178"/>
        <v>4.1868944033308245E-3</v>
      </c>
      <c r="AR176">
        <f t="shared" si="178"/>
        <v>3.5552991194553116E-3</v>
      </c>
      <c r="AS176">
        <f t="shared" si="178"/>
        <v>2.8985047158780579E-3</v>
      </c>
      <c r="AT176">
        <f t="shared" si="178"/>
        <v>2.2683351583202113E-3</v>
      </c>
      <c r="AU176">
        <f t="shared" si="178"/>
        <v>1.703847402297319E-3</v>
      </c>
      <c r="AV176">
        <f t="shared" si="178"/>
        <v>1.2283391231488893E-3</v>
      </c>
      <c r="AW176">
        <f t="shared" si="178"/>
        <v>8.4987431341409126E-4</v>
      </c>
      <c r="AX176">
        <f t="shared" si="178"/>
        <v>5.6432714415232462E-4</v>
      </c>
      <c r="AY176">
        <f t="shared" si="178"/>
        <v>3.5961817775397731E-4</v>
      </c>
      <c r="AZ176">
        <f t="shared" si="178"/>
        <v>2.1992954504356649E-4</v>
      </c>
      <c r="BA176">
        <f t="shared" si="178"/>
        <v>1.2907876898206235E-4</v>
      </c>
    </row>
    <row r="177" spans="1:53" x14ac:dyDescent="0.25">
      <c r="A177" s="1">
        <v>28</v>
      </c>
      <c r="B177" s="2">
        <f t="shared" si="153"/>
        <v>2.1721814696273993</v>
      </c>
      <c r="C177">
        <f t="shared" ref="C177:BA177" si="179">C61*$G$1+C119*$G$11</f>
        <v>2.3903671941142672E-5</v>
      </c>
      <c r="D177">
        <f t="shared" si="179"/>
        <v>4.3002578298678244E-5</v>
      </c>
      <c r="E177">
        <f t="shared" si="179"/>
        <v>7.4965930734659521E-5</v>
      </c>
      <c r="F177">
        <f t="shared" si="179"/>
        <v>1.2664059623378066E-4</v>
      </c>
      <c r="G177">
        <f t="shared" si="179"/>
        <v>2.0731060756749251E-4</v>
      </c>
      <c r="H177">
        <f t="shared" si="179"/>
        <v>3.2885895639414337E-4</v>
      </c>
      <c r="I177">
        <f t="shared" si="179"/>
        <v>5.0551890724325767E-4</v>
      </c>
      <c r="J177">
        <f t="shared" si="179"/>
        <v>7.5301691043883285E-4</v>
      </c>
      <c r="K177">
        <f t="shared" si="179"/>
        <v>1.0869553108428247E-3</v>
      </c>
      <c r="L177">
        <f t="shared" si="179"/>
        <v>1.5204017653853638E-3</v>
      </c>
      <c r="M177">
        <f t="shared" si="179"/>
        <v>2.0608431491594675E-3</v>
      </c>
      <c r="N177">
        <f t="shared" si="179"/>
        <v>2.7068974287702899E-3</v>
      </c>
      <c r="O177">
        <f t="shared" si="179"/>
        <v>3.4454010362321725E-3</v>
      </c>
      <c r="P177">
        <f t="shared" si="179"/>
        <v>4.2496253247428714E-3</v>
      </c>
      <c r="Q177">
        <f t="shared" si="179"/>
        <v>5.0793492007428689E-3</v>
      </c>
      <c r="R177">
        <f t="shared" si="179"/>
        <v>5.8832826029471211E-3</v>
      </c>
      <c r="S177">
        <f t="shared" si="179"/>
        <v>6.6039112648302216E-3</v>
      </c>
      <c r="T177">
        <f t="shared" si="179"/>
        <v>7.1842995604127083E-3</v>
      </c>
      <c r="U177">
        <f t="shared" si="179"/>
        <v>7.5758816266892686E-3</v>
      </c>
      <c r="V177">
        <f t="shared" si="179"/>
        <v>7.7459422960148147E-3</v>
      </c>
      <c r="W177">
        <f t="shared" si="179"/>
        <v>7.6834506566804918E-3</v>
      </c>
      <c r="X177">
        <f t="shared" si="179"/>
        <v>7.4021865504862987E-3</v>
      </c>
      <c r="Y177">
        <f t="shared" si="179"/>
        <v>6.94061597852533E-3</v>
      </c>
      <c r="Z177">
        <f t="shared" si="179"/>
        <v>6.3585654967297546E-3</v>
      </c>
      <c r="AA177">
        <f t="shared" si="179"/>
        <v>5.731236913609751E-3</v>
      </c>
      <c r="AB177">
        <f t="shared" si="179"/>
        <v>5.1413648388864462E-3</v>
      </c>
      <c r="AC177">
        <f t="shared" si="179"/>
        <v>4.6703363094258588E-3</v>
      </c>
      <c r="AD177">
        <f t="shared" si="179"/>
        <v>4.3889714031449256E-3</v>
      </c>
      <c r="AE177">
        <f t="shared" si="179"/>
        <v>4.3485832720090625E-3</v>
      </c>
      <c r="AF177">
        <f t="shared" si="179"/>
        <v>4.5730414607666357E-3</v>
      </c>
      <c r="AG177">
        <f t="shared" si="179"/>
        <v>5.0528662194650378E-3</v>
      </c>
      <c r="AH177">
        <f t="shared" si="179"/>
        <v>5.7427148698475389E-3</v>
      </c>
      <c r="AI177">
        <f t="shared" si="179"/>
        <v>6.5636839485519304E-3</v>
      </c>
      <c r="AJ177">
        <f t="shared" si="179"/>
        <v>7.4113573144719376E-3</v>
      </c>
      <c r="AK177">
        <f t="shared" si="179"/>
        <v>8.1693922798519499E-3</v>
      </c>
      <c r="AL177">
        <f t="shared" si="179"/>
        <v>8.726882851976113E-3</v>
      </c>
      <c r="AM177">
        <f t="shared" si="179"/>
        <v>8.9962922742491628E-3</v>
      </c>
      <c r="AN177">
        <f t="shared" si="179"/>
        <v>8.9280242879539642E-3</v>
      </c>
      <c r="AO177">
        <f t="shared" si="179"/>
        <v>8.5181332880531098E-3</v>
      </c>
      <c r="AP177">
        <f t="shared" si="179"/>
        <v>7.8072627690001124E-3</v>
      </c>
      <c r="AQ177">
        <f t="shared" si="179"/>
        <v>6.8711771671375729E-3</v>
      </c>
      <c r="AR177">
        <f t="shared" si="179"/>
        <v>5.8054407986788568E-3</v>
      </c>
      <c r="AS177">
        <f t="shared" si="179"/>
        <v>4.7081493948058772E-3</v>
      </c>
      <c r="AT177">
        <f t="shared" si="179"/>
        <v>3.6647241125850913E-3</v>
      </c>
      <c r="AU177">
        <f t="shared" si="179"/>
        <v>2.7377138688250099E-3</v>
      </c>
      <c r="AV177">
        <f t="shared" si="179"/>
        <v>1.96281182004767E-3</v>
      </c>
      <c r="AW177">
        <f t="shared" si="179"/>
        <v>1.3505357869430417E-3</v>
      </c>
      <c r="AX177">
        <f t="shared" si="179"/>
        <v>8.9179734549182357E-4</v>
      </c>
      <c r="AY177">
        <f t="shared" si="179"/>
        <v>5.6514044790444736E-4</v>
      </c>
      <c r="AZ177">
        <f t="shared" si="179"/>
        <v>3.4369659175314605E-4</v>
      </c>
      <c r="BA177">
        <f t="shared" si="179"/>
        <v>2.005957598571839E-4</v>
      </c>
    </row>
    <row r="178" spans="1:53" x14ac:dyDescent="0.25">
      <c r="A178" s="1">
        <v>29</v>
      </c>
      <c r="B178" s="2">
        <f t="shared" si="153"/>
        <v>2.3633681375527971</v>
      </c>
      <c r="C178">
        <f t="shared" ref="C178:BA178" si="180">C62*$G$1+C120*$G$11</f>
        <v>1.407766634795521E-5</v>
      </c>
      <c r="D178">
        <f t="shared" si="180"/>
        <v>2.5469618752084799E-5</v>
      </c>
      <c r="E178">
        <f t="shared" si="180"/>
        <v>4.4653323454887739E-5</v>
      </c>
      <c r="F178">
        <f t="shared" si="180"/>
        <v>7.5862072209954392E-5</v>
      </c>
      <c r="G178">
        <f t="shared" si="180"/>
        <v>1.2489216349352111E-4</v>
      </c>
      <c r="H178">
        <f t="shared" si="180"/>
        <v>1.9924400385991367E-4</v>
      </c>
      <c r="I178">
        <f t="shared" si="180"/>
        <v>3.0801717875010147E-4</v>
      </c>
      <c r="J178">
        <f t="shared" si="180"/>
        <v>4.6142835016529807E-4</v>
      </c>
      <c r="K178">
        <f t="shared" si="180"/>
        <v>6.6984354615846106E-4</v>
      </c>
      <c r="L178">
        <f t="shared" si="180"/>
        <v>9.4228545993388043E-4</v>
      </c>
      <c r="M178">
        <f t="shared" si="180"/>
        <v>1.2844941504723663E-3</v>
      </c>
      <c r="N178">
        <f t="shared" si="180"/>
        <v>1.6967716893081404E-3</v>
      </c>
      <c r="O178">
        <f t="shared" si="180"/>
        <v>2.171994224963321E-3</v>
      </c>
      <c r="P178">
        <f t="shared" si="180"/>
        <v>2.6942804151997178E-3</v>
      </c>
      <c r="Q178">
        <f t="shared" si="180"/>
        <v>3.2388133113196637E-3</v>
      </c>
      <c r="R178">
        <f t="shared" si="180"/>
        <v>3.7731906891052495E-3</v>
      </c>
      <c r="S178">
        <f t="shared" si="180"/>
        <v>4.2604286336622652E-3</v>
      </c>
      <c r="T178">
        <f t="shared" si="180"/>
        <v>4.6634107938534732E-3</v>
      </c>
      <c r="U178">
        <f t="shared" si="180"/>
        <v>4.9502433806777029E-3</v>
      </c>
      <c r="V178">
        <f t="shared" si="180"/>
        <v>5.0997374797889282E-3</v>
      </c>
      <c r="W178">
        <f t="shared" si="180"/>
        <v>5.1061655748121312E-3</v>
      </c>
      <c r="X178">
        <f t="shared" si="180"/>
        <v>4.9825428605701477E-3</v>
      </c>
      <c r="Y178">
        <f t="shared" si="180"/>
        <v>4.7619134146856673E-3</v>
      </c>
      <c r="Z178">
        <f t="shared" si="180"/>
        <v>4.496376444552197E-3</v>
      </c>
      <c r="AA178">
        <f t="shared" si="180"/>
        <v>4.2537696029098272E-3</v>
      </c>
      <c r="AB178">
        <f t="shared" si="180"/>
        <v>4.1119966212037166E-3</v>
      </c>
      <c r="AC178">
        <f t="shared" si="180"/>
        <v>4.1510080369254179E-3</v>
      </c>
      <c r="AD178">
        <f t="shared" si="180"/>
        <v>4.4425695317636769E-3</v>
      </c>
      <c r="AE178">
        <f t="shared" si="180"/>
        <v>5.0383502518897994E-3</v>
      </c>
      <c r="AF178">
        <f t="shared" si="180"/>
        <v>5.9575967136243965E-3</v>
      </c>
      <c r="AG178">
        <f t="shared" si="180"/>
        <v>7.1765775876924259E-3</v>
      </c>
      <c r="AH178">
        <f t="shared" si="180"/>
        <v>8.6227078247753924E-3</v>
      </c>
      <c r="AI178">
        <f t="shared" si="180"/>
        <v>1.017628487453622E-2</v>
      </c>
      <c r="AJ178">
        <f t="shared" si="180"/>
        <v>1.1681709917477722E-2</v>
      </c>
      <c r="AK178">
        <f t="shared" si="180"/>
        <v>1.2967916202225998E-2</v>
      </c>
      <c r="AL178">
        <f t="shared" si="180"/>
        <v>1.3874995559881498E-2</v>
      </c>
      <c r="AM178">
        <f t="shared" si="180"/>
        <v>1.4281630417692065E-2</v>
      </c>
      <c r="AN178">
        <f t="shared" si="180"/>
        <v>1.4126898635293416E-2</v>
      </c>
      <c r="AO178">
        <f t="shared" si="180"/>
        <v>1.3420931413344606E-2</v>
      </c>
      <c r="AP178">
        <f t="shared" si="180"/>
        <v>1.2241654944885242E-2</v>
      </c>
      <c r="AQ178">
        <f t="shared" si="180"/>
        <v>1.0718570638719857E-2</v>
      </c>
      <c r="AR178">
        <f t="shared" si="180"/>
        <v>9.0079458837405302E-3</v>
      </c>
      <c r="AS178">
        <f t="shared" si="180"/>
        <v>7.2657368019809774E-3</v>
      </c>
      <c r="AT178">
        <f t="shared" si="180"/>
        <v>5.6244851203922711E-3</v>
      </c>
      <c r="AU178">
        <f t="shared" si="180"/>
        <v>4.1785523689917984E-3</v>
      </c>
      <c r="AV178">
        <f t="shared" si="180"/>
        <v>2.9792258314687891E-3</v>
      </c>
      <c r="AW178">
        <f t="shared" si="180"/>
        <v>2.0385071431362348E-3</v>
      </c>
      <c r="AX178">
        <f t="shared" si="180"/>
        <v>1.3385984768118798E-3</v>
      </c>
      <c r="AY178">
        <f t="shared" si="180"/>
        <v>8.4356101727476858E-4</v>
      </c>
      <c r="AZ178">
        <f t="shared" si="180"/>
        <v>5.1016426638066863E-4</v>
      </c>
      <c r="BA178">
        <f t="shared" si="180"/>
        <v>2.9609459478535194E-4</v>
      </c>
    </row>
    <row r="179" spans="1:53" x14ac:dyDescent="0.25">
      <c r="A179" s="1">
        <v>30</v>
      </c>
      <c r="B179" s="2">
        <f t="shared" si="153"/>
        <v>2.5545548054781948</v>
      </c>
      <c r="C179">
        <f t="shared" ref="C179:BA179" si="181">C63*$G$1+C121*$G$11</f>
        <v>7.9896919765549028E-6</v>
      </c>
      <c r="D179">
        <f t="shared" si="181"/>
        <v>1.4537298740148218E-5</v>
      </c>
      <c r="E179">
        <f t="shared" si="181"/>
        <v>2.5631673642385779E-5</v>
      </c>
      <c r="F179">
        <f t="shared" si="181"/>
        <v>4.3793513646343522E-5</v>
      </c>
      <c r="G179">
        <f t="shared" si="181"/>
        <v>7.2507379153338556E-5</v>
      </c>
      <c r="H179">
        <f t="shared" si="181"/>
        <v>1.163306740612675E-4</v>
      </c>
      <c r="I179">
        <f t="shared" si="181"/>
        <v>1.8086143391381996E-4</v>
      </c>
      <c r="J179">
        <f t="shared" si="181"/>
        <v>2.7248181963340963E-4</v>
      </c>
      <c r="K179">
        <f t="shared" si="181"/>
        <v>3.9780409507168487E-4</v>
      </c>
      <c r="L179">
        <f t="shared" si="181"/>
        <v>5.6278409806311751E-4</v>
      </c>
      <c r="M179">
        <f t="shared" si="181"/>
        <v>7.7153691195222659E-4</v>
      </c>
      <c r="N179">
        <f t="shared" si="181"/>
        <v>1.0249838636611245E-3</v>
      </c>
      <c r="O179">
        <f t="shared" si="181"/>
        <v>1.3195603539613411E-3</v>
      </c>
      <c r="P179">
        <f t="shared" si="181"/>
        <v>1.6462916889456278E-3</v>
      </c>
      <c r="Q179">
        <f t="shared" si="181"/>
        <v>1.9905677718707318E-3</v>
      </c>
      <c r="R179">
        <f t="shared" si="181"/>
        <v>2.3328946755836895E-3</v>
      </c>
      <c r="S179">
        <f t="shared" si="181"/>
        <v>2.6507692128268563E-3</v>
      </c>
      <c r="T179">
        <f t="shared" si="181"/>
        <v>2.9216349424182248E-3</v>
      </c>
      <c r="U179">
        <f t="shared" si="181"/>
        <v>3.1266791138823764E-3</v>
      </c>
      <c r="V179">
        <f t="shared" si="181"/>
        <v>3.2550694397661712E-3</v>
      </c>
      <c r="W179">
        <f t="shared" si="181"/>
        <v>3.3081389214826003E-3</v>
      </c>
      <c r="X179">
        <f t="shared" si="181"/>
        <v>3.3030007465709951E-3</v>
      </c>
      <c r="Y179">
        <f t="shared" si="181"/>
        <v>3.2750687715430151E-3</v>
      </c>
      <c r="Z179">
        <f t="shared" si="181"/>
        <v>3.2789123648535342E-3</v>
      </c>
      <c r="AA179">
        <f t="shared" si="181"/>
        <v>3.3867599197184997E-3</v>
      </c>
      <c r="AB179">
        <f t="shared" si="181"/>
        <v>3.6838398875138467E-3</v>
      </c>
      <c r="AC179">
        <f t="shared" si="181"/>
        <v>4.2597749875334769E-3</v>
      </c>
      <c r="AD179">
        <f t="shared" si="181"/>
        <v>5.1956529666954011E-3</v>
      </c>
      <c r="AE179">
        <f t="shared" si="181"/>
        <v>6.547363874445402E-3</v>
      </c>
      <c r="AF179">
        <f t="shared" si="181"/>
        <v>8.3272881471782908E-3</v>
      </c>
      <c r="AG179">
        <f t="shared" si="181"/>
        <v>1.048808109374251E-2</v>
      </c>
      <c r="AH179">
        <f t="shared" si="181"/>
        <v>1.2913453641289685E-2</v>
      </c>
      <c r="AI179">
        <f t="shared" si="181"/>
        <v>1.5420722156026342E-2</v>
      </c>
      <c r="AJ179">
        <f t="shared" si="181"/>
        <v>1.777798677506507E-2</v>
      </c>
      <c r="AK179">
        <f t="shared" si="181"/>
        <v>1.9735231322897312E-2</v>
      </c>
      <c r="AL179">
        <f t="shared" si="181"/>
        <v>2.106434207000614E-2</v>
      </c>
      <c r="AM179">
        <f t="shared" si="181"/>
        <v>2.1599509276004739E-2</v>
      </c>
      <c r="AN179">
        <f t="shared" si="181"/>
        <v>2.1268192942599885E-2</v>
      </c>
      <c r="AO179">
        <f t="shared" si="181"/>
        <v>2.01045998616486E-2</v>
      </c>
      <c r="AP179">
        <f t="shared" si="181"/>
        <v>1.8242084533943447E-2</v>
      </c>
      <c r="AQ179">
        <f t="shared" si="181"/>
        <v>1.5886604357647313E-2</v>
      </c>
      <c r="AR179">
        <f t="shared" si="181"/>
        <v>1.3278351487333364E-2</v>
      </c>
      <c r="AS179">
        <f t="shared" si="181"/>
        <v>1.0651270512753075E-2</v>
      </c>
      <c r="AT179">
        <f t="shared" si="181"/>
        <v>8.199655922889482E-3</v>
      </c>
      <c r="AU179">
        <f t="shared" si="181"/>
        <v>6.0579060311939589E-3</v>
      </c>
      <c r="AV179">
        <f t="shared" si="181"/>
        <v>4.2951622691145075E-3</v>
      </c>
      <c r="AW179">
        <f t="shared" si="181"/>
        <v>2.9225720309639354E-3</v>
      </c>
      <c r="AX179">
        <f t="shared" si="181"/>
        <v>1.9084401433348288E-3</v>
      </c>
      <c r="AY179">
        <f t="shared" si="181"/>
        <v>1.1959663564068627E-3</v>
      </c>
      <c r="AZ179">
        <f t="shared" si="181"/>
        <v>7.1926036528003018E-4</v>
      </c>
      <c r="BA179">
        <f t="shared" si="181"/>
        <v>4.1512589281512301E-4</v>
      </c>
    </row>
    <row r="180" spans="1:53" x14ac:dyDescent="0.25">
      <c r="A180" s="1">
        <v>31</v>
      </c>
      <c r="B180" s="2">
        <f t="shared" si="153"/>
        <v>2.7457414734035916</v>
      </c>
      <c r="C180">
        <f t="shared" ref="C180:BA180" si="182">C64*$G$1+C122*$G$11</f>
        <v>4.3698117508091254E-6</v>
      </c>
      <c r="D180">
        <f t="shared" si="182"/>
        <v>7.9961017984027586E-6</v>
      </c>
      <c r="E180">
        <f t="shared" si="182"/>
        <v>1.4178604262083782E-5</v>
      </c>
      <c r="F180">
        <f t="shared" si="182"/>
        <v>2.4362858693217753E-5</v>
      </c>
      <c r="G180">
        <f t="shared" si="182"/>
        <v>4.0566043364194842E-5</v>
      </c>
      <c r="H180">
        <f t="shared" si="182"/>
        <v>6.5454089204178929E-5</v>
      </c>
      <c r="I180">
        <f t="shared" si="182"/>
        <v>1.0234127985989017E-4</v>
      </c>
      <c r="J180">
        <f t="shared" si="182"/>
        <v>1.5506195606916024E-4</v>
      </c>
      <c r="K180">
        <f t="shared" si="182"/>
        <v>2.2766745166937399E-4</v>
      </c>
      <c r="L180">
        <f t="shared" si="182"/>
        <v>3.2392156614583195E-4</v>
      </c>
      <c r="M180">
        <f t="shared" si="182"/>
        <v>4.4660761532334139E-4</v>
      </c>
      <c r="N180">
        <f t="shared" si="182"/>
        <v>5.967168473392224E-4</v>
      </c>
      <c r="O180">
        <f t="shared" si="182"/>
        <v>7.7265222944393691E-4</v>
      </c>
      <c r="P180">
        <f t="shared" si="182"/>
        <v>9.6963764242254829E-4</v>
      </c>
      <c r="Q180">
        <f t="shared" si="182"/>
        <v>1.1795525297737472E-3</v>
      </c>
      <c r="R180">
        <f t="shared" si="182"/>
        <v>1.3914023606119402E-3</v>
      </c>
      <c r="S180">
        <f t="shared" si="182"/>
        <v>1.592582623399192E-3</v>
      </c>
      <c r="T180">
        <f t="shared" si="182"/>
        <v>1.7710081964266416E-3</v>
      </c>
      <c r="U180">
        <f t="shared" si="182"/>
        <v>1.9180791408041128E-3</v>
      </c>
      <c r="V180">
        <f t="shared" si="182"/>
        <v>2.0323532217843294E-3</v>
      </c>
      <c r="W180">
        <f t="shared" si="182"/>
        <v>2.1236913952484256E-3</v>
      </c>
      <c r="X180">
        <f t="shared" si="182"/>
        <v>2.2175045828719286E-3</v>
      </c>
      <c r="Y180">
        <f t="shared" si="182"/>
        <v>2.3585100605685349E-3</v>
      </c>
      <c r="Z180">
        <f t="shared" si="182"/>
        <v>2.6130727512420518E-3</v>
      </c>
      <c r="AA180">
        <f t="shared" si="182"/>
        <v>3.0688018838887529E-3</v>
      </c>
      <c r="AB180">
        <f t="shared" si="182"/>
        <v>3.8297598286332855E-3</v>
      </c>
      <c r="AC180">
        <f t="shared" si="182"/>
        <v>5.00570492480076E-3</v>
      </c>
      <c r="AD180">
        <f t="shared" si="182"/>
        <v>6.6945624589669246E-3</v>
      </c>
      <c r="AE180">
        <f t="shared" si="182"/>
        <v>8.9589915202601886E-3</v>
      </c>
      <c r="AF180">
        <f t="shared" si="182"/>
        <v>1.1800335142706328E-2</v>
      </c>
      <c r="AG180">
        <f t="shared" si="182"/>
        <v>1.5135766609832603E-2</v>
      </c>
      <c r="AH180">
        <f t="shared" si="182"/>
        <v>1.8786025579889655E-2</v>
      </c>
      <c r="AI180">
        <f t="shared" si="182"/>
        <v>2.2480665261892172E-2</v>
      </c>
      <c r="AJ180">
        <f t="shared" si="182"/>
        <v>2.5884586560044914E-2</v>
      </c>
      <c r="AK180">
        <f t="shared" si="182"/>
        <v>2.8644185164487281E-2</v>
      </c>
      <c r="AL180">
        <f t="shared" si="182"/>
        <v>3.0445183061402602E-2</v>
      </c>
      <c r="AM180">
        <f t="shared" si="182"/>
        <v>3.1069383173117641E-2</v>
      </c>
      <c r="AN180">
        <f t="shared" si="182"/>
        <v>3.0436250923546789E-2</v>
      </c>
      <c r="AO180">
        <f t="shared" si="182"/>
        <v>2.8618341263931528E-2</v>
      </c>
      <c r="AP180">
        <f t="shared" si="182"/>
        <v>2.5826410985929991E-2</v>
      </c>
      <c r="AQ180">
        <f t="shared" si="182"/>
        <v>2.2368326860440095E-2</v>
      </c>
      <c r="AR180">
        <f t="shared" si="182"/>
        <v>1.8592731515142177E-2</v>
      </c>
      <c r="AS180">
        <f t="shared" si="182"/>
        <v>1.4831583339669111E-2</v>
      </c>
      <c r="AT180">
        <f t="shared" si="182"/>
        <v>1.1354371919112255E-2</v>
      </c>
      <c r="AU180">
        <f t="shared" si="182"/>
        <v>8.3419579977085049E-3</v>
      </c>
      <c r="AV180">
        <f t="shared" si="182"/>
        <v>5.8816741630100108E-3</v>
      </c>
      <c r="AW180">
        <f t="shared" si="182"/>
        <v>3.9798002154127236E-3</v>
      </c>
      <c r="AX180">
        <f t="shared" si="182"/>
        <v>2.5843330311731685E-3</v>
      </c>
      <c r="AY180">
        <f t="shared" si="182"/>
        <v>1.6105058447091639E-3</v>
      </c>
      <c r="AZ180">
        <f t="shared" si="182"/>
        <v>9.6316918150174315E-4</v>
      </c>
      <c r="BA180">
        <f t="shared" si="182"/>
        <v>5.5280146786205477E-4</v>
      </c>
    </row>
    <row r="181" spans="1:53" x14ac:dyDescent="0.25">
      <c r="A181" s="1">
        <v>32</v>
      </c>
      <c r="B181" s="2">
        <f t="shared" si="153"/>
        <v>2.9369281413289894</v>
      </c>
      <c r="C181">
        <f t="shared" ref="C181:BA181" si="183">C65*$G$1+C123*$G$11</f>
        <v>2.3031846165256813E-6</v>
      </c>
      <c r="D181">
        <f t="shared" si="183"/>
        <v>4.2384421544304251E-6</v>
      </c>
      <c r="E181">
        <f t="shared" si="183"/>
        <v>7.5582870059482876E-6</v>
      </c>
      <c r="F181">
        <f t="shared" si="183"/>
        <v>1.3061112240549174E-5</v>
      </c>
      <c r="G181">
        <f t="shared" si="183"/>
        <v>2.1871407276191868E-5</v>
      </c>
      <c r="H181">
        <f t="shared" si="183"/>
        <v>3.5490599908084635E-5</v>
      </c>
      <c r="I181">
        <f t="shared" si="183"/>
        <v>5.5807243030271712E-5</v>
      </c>
      <c r="J181">
        <f t="shared" si="183"/>
        <v>8.5037332986978275E-5</v>
      </c>
      <c r="K181">
        <f t="shared" si="183"/>
        <v>1.2556630611283375E-4</v>
      </c>
      <c r="L181">
        <f t="shared" si="183"/>
        <v>1.7967451098318659E-4</v>
      </c>
      <c r="M181">
        <f t="shared" si="183"/>
        <v>2.491500656800576E-4</v>
      </c>
      <c r="N181">
        <f t="shared" si="183"/>
        <v>3.3482664575412192E-4</v>
      </c>
      <c r="O181">
        <f t="shared" si="183"/>
        <v>4.3612493942995914E-4</v>
      </c>
      <c r="P181">
        <f t="shared" si="183"/>
        <v>5.5071801073115886E-4</v>
      </c>
      <c r="Q181">
        <f t="shared" si="183"/>
        <v>6.7447412744501515E-4</v>
      </c>
      <c r="R181">
        <f t="shared" si="183"/>
        <v>8.0184908980316782E-4</v>
      </c>
      <c r="S181">
        <f t="shared" si="183"/>
        <v>9.2690143151105654E-4</v>
      </c>
      <c r="T181">
        <f t="shared" si="183"/>
        <v>1.0450894458159045E-3</v>
      </c>
      <c r="U181">
        <f t="shared" si="183"/>
        <v>1.1559780714379632E-3</v>
      </c>
      <c r="V181">
        <f t="shared" si="183"/>
        <v>1.266922891526897E-3</v>
      </c>
      <c r="W181">
        <f t="shared" si="183"/>
        <v>1.3976718305198062E-3</v>
      </c>
      <c r="X181">
        <f t="shared" si="183"/>
        <v>1.585574412815084E-3</v>
      </c>
      <c r="Y181">
        <f t="shared" si="183"/>
        <v>1.8906562983456165E-3</v>
      </c>
      <c r="Z181">
        <f t="shared" si="183"/>
        <v>2.3991977410558066E-3</v>
      </c>
      <c r="AA181">
        <f t="shared" si="183"/>
        <v>3.2237631772655739E-3</v>
      </c>
      <c r="AB181">
        <f t="shared" si="183"/>
        <v>4.4971500272607242E-3</v>
      </c>
      <c r="AC181">
        <f t="shared" si="183"/>
        <v>6.3578914195285292E-3</v>
      </c>
      <c r="AD181">
        <f t="shared" si="183"/>
        <v>8.9262033057841382E-3</v>
      </c>
      <c r="AE181">
        <f t="shared" si="183"/>
        <v>1.2271811202088081E-2</v>
      </c>
      <c r="AF181">
        <f t="shared" si="183"/>
        <v>1.6378599955200631E-2</v>
      </c>
      <c r="AG181">
        <f t="shared" si="183"/>
        <v>2.1114503929648167E-2</v>
      </c>
      <c r="AH181">
        <f t="shared" si="183"/>
        <v>2.6216987381968239E-2</v>
      </c>
      <c r="AI181">
        <f t="shared" si="183"/>
        <v>3.1303373325922368E-2</v>
      </c>
      <c r="AJ181">
        <f t="shared" si="183"/>
        <v>3.59104698585926E-2</v>
      </c>
      <c r="AK181">
        <f t="shared" si="183"/>
        <v>3.9560146504908522E-2</v>
      </c>
      <c r="AL181">
        <f t="shared" si="183"/>
        <v>4.1838983055745668E-2</v>
      </c>
      <c r="AM181">
        <f t="shared" si="183"/>
        <v>4.2473961782047008E-2</v>
      </c>
      <c r="AN181">
        <f t="shared" si="183"/>
        <v>4.1385113943533336E-2</v>
      </c>
      <c r="AO181">
        <f t="shared" si="183"/>
        <v>3.8701079131305605E-2</v>
      </c>
      <c r="AP181">
        <f t="shared" si="183"/>
        <v>3.4733351533873233E-2</v>
      </c>
      <c r="AQ181">
        <f t="shared" si="183"/>
        <v>2.9916274884002815E-2</v>
      </c>
      <c r="AR181">
        <f t="shared" si="183"/>
        <v>2.47286914952419E-2</v>
      </c>
      <c r="AS181">
        <f t="shared" si="183"/>
        <v>1.9616654343322305E-2</v>
      </c>
      <c r="AT181">
        <f t="shared" si="183"/>
        <v>1.4934041635905764E-2</v>
      </c>
      <c r="AU181">
        <f t="shared" si="183"/>
        <v>1.0910821352998359E-2</v>
      </c>
      <c r="AV181">
        <f t="shared" si="183"/>
        <v>7.6500561863365336E-3</v>
      </c>
      <c r="AW181">
        <f t="shared" si="183"/>
        <v>5.1475259359062241E-3</v>
      </c>
      <c r="AX181">
        <f t="shared" si="183"/>
        <v>3.3239844351566584E-3</v>
      </c>
      <c r="AY181">
        <f t="shared" si="183"/>
        <v>2.0598984072579306E-3</v>
      </c>
      <c r="AZ181">
        <f t="shared" si="183"/>
        <v>1.2250643956185116E-3</v>
      </c>
      <c r="BA181">
        <f t="shared" si="183"/>
        <v>6.9919493774368521E-4</v>
      </c>
    </row>
    <row r="182" spans="1:53" x14ac:dyDescent="0.25">
      <c r="A182" s="1">
        <v>33</v>
      </c>
      <c r="B182" s="2">
        <f t="shared" si="153"/>
        <v>3.1281148092543871</v>
      </c>
      <c r="C182">
        <f t="shared" ref="C182:BA182" si="184">C66*$G$1+C124*$G$11</f>
        <v>1.1698444793420295E-6</v>
      </c>
      <c r="D182">
        <f t="shared" si="184"/>
        <v>2.1650483959441329E-6</v>
      </c>
      <c r="E182">
        <f t="shared" si="184"/>
        <v>3.8828157623678771E-6</v>
      </c>
      <c r="F182">
        <f t="shared" si="184"/>
        <v>6.7478561446164117E-6</v>
      </c>
      <c r="G182">
        <f t="shared" si="184"/>
        <v>1.1363838472846748E-5</v>
      </c>
      <c r="H182">
        <f t="shared" si="184"/>
        <v>1.8544932131345682E-5</v>
      </c>
      <c r="I182">
        <f t="shared" si="184"/>
        <v>2.9327025723758321E-5</v>
      </c>
      <c r="J182">
        <f t="shared" si="184"/>
        <v>4.4942454941084389E-5</v>
      </c>
      <c r="K182">
        <f t="shared" si="184"/>
        <v>6.6741927662179959E-5</v>
      </c>
      <c r="L182">
        <f t="shared" si="184"/>
        <v>9.605252724807393E-5</v>
      </c>
      <c r="M182">
        <f t="shared" si="184"/>
        <v>1.3397309285198965E-4</v>
      </c>
      <c r="N182">
        <f t="shared" si="184"/>
        <v>1.8112875194823736E-4</v>
      </c>
      <c r="O182">
        <f t="shared" si="184"/>
        <v>2.3743428681783504E-4</v>
      </c>
      <c r="P182">
        <f t="shared" si="184"/>
        <v>3.0194950267823251E-4</v>
      </c>
      <c r="Q182">
        <f t="shared" si="184"/>
        <v>3.7294669432915415E-4</v>
      </c>
      <c r="R182">
        <f t="shared" si="184"/>
        <v>4.4834927071550184E-4</v>
      </c>
      <c r="S182">
        <f t="shared" si="184"/>
        <v>5.2674052664643842E-4</v>
      </c>
      <c r="T182">
        <f t="shared" si="184"/>
        <v>6.0917802253589019E-4</v>
      </c>
      <c r="U182">
        <f t="shared" si="184"/>
        <v>7.0206612589422505E-4</v>
      </c>
      <c r="V182">
        <f t="shared" si="184"/>
        <v>8.2129880907491973E-4</v>
      </c>
      <c r="W182">
        <f t="shared" si="184"/>
        <v>9.9771978615388049E-4</v>
      </c>
      <c r="X182">
        <f t="shared" si="184"/>
        <v>1.2835712168233573E-3</v>
      </c>
      <c r="Y182">
        <f t="shared" si="184"/>
        <v>1.758948325534617E-3</v>
      </c>
      <c r="Z182">
        <f t="shared" si="184"/>
        <v>2.5363681600322008E-3</v>
      </c>
      <c r="AA182">
        <f t="shared" si="184"/>
        <v>3.76059376587334E-3</v>
      </c>
      <c r="AB182">
        <f t="shared" si="184"/>
        <v>5.600252403057426E-3</v>
      </c>
      <c r="AC182">
        <f t="shared" si="184"/>
        <v>8.2281422056510994E-3</v>
      </c>
      <c r="AD182">
        <f t="shared" si="184"/>
        <v>1.178899468210259E-2</v>
      </c>
      <c r="AE182">
        <f t="shared" si="184"/>
        <v>1.6357030001048743E-2</v>
      </c>
      <c r="AF182">
        <f t="shared" si="184"/>
        <v>2.1890354685264308E-2</v>
      </c>
      <c r="AG182">
        <f t="shared" si="184"/>
        <v>2.8193678943085918E-2</v>
      </c>
      <c r="AH182">
        <f t="shared" si="184"/>
        <v>3.4902952770927448E-2</v>
      </c>
      <c r="AI182">
        <f t="shared" si="184"/>
        <v>4.1503480713863207E-2</v>
      </c>
      <c r="AJ182">
        <f t="shared" si="184"/>
        <v>4.738618650576272E-2</v>
      </c>
      <c r="AK182">
        <f t="shared" si="184"/>
        <v>5.1936200018847418E-2</v>
      </c>
      <c r="AL182">
        <f t="shared" si="184"/>
        <v>5.4636993876232366E-2</v>
      </c>
      <c r="AM182">
        <f t="shared" si="184"/>
        <v>5.51659971543213E-2</v>
      </c>
      <c r="AN182">
        <f t="shared" si="184"/>
        <v>5.3457282238401974E-2</v>
      </c>
      <c r="AO182">
        <f t="shared" si="184"/>
        <v>4.9714487958967712E-2</v>
      </c>
      <c r="AP182">
        <f t="shared" si="184"/>
        <v>4.4370456424115037E-2</v>
      </c>
      <c r="AQ182">
        <f t="shared" si="184"/>
        <v>3.8004602770394524E-2</v>
      </c>
      <c r="AR182">
        <f t="shared" si="184"/>
        <v>3.1239769561765045E-2</v>
      </c>
      <c r="AS182">
        <f t="shared" si="184"/>
        <v>2.4643792162705621E-2</v>
      </c>
      <c r="AT182">
        <f t="shared" si="184"/>
        <v>1.8656690220999878E-2</v>
      </c>
      <c r="AU182">
        <f t="shared" si="184"/>
        <v>1.3554657764554291E-2</v>
      </c>
      <c r="AV182">
        <f t="shared" si="184"/>
        <v>9.4508120616846169E-3</v>
      </c>
      <c r="AW182">
        <f t="shared" si="184"/>
        <v>6.323771043656082E-3</v>
      </c>
      <c r="AX182">
        <f t="shared" si="184"/>
        <v>4.0607801780239436E-3</v>
      </c>
      <c r="AY182">
        <f t="shared" si="184"/>
        <v>2.5024711943028373E-3</v>
      </c>
      <c r="AZ182">
        <f t="shared" si="184"/>
        <v>1.4799768214985335E-3</v>
      </c>
      <c r="BA182">
        <f t="shared" si="184"/>
        <v>8.3997610689696229E-4</v>
      </c>
    </row>
    <row r="183" spans="1:53" x14ac:dyDescent="0.25">
      <c r="A183" s="1">
        <v>34</v>
      </c>
      <c r="B183" s="2">
        <f t="shared" si="153"/>
        <v>3.3193014771797849</v>
      </c>
      <c r="C183">
        <f t="shared" ref="C183:BA183" si="185">C67*$G$1+C125*$G$11</f>
        <v>5.7261265106061651E-7</v>
      </c>
      <c r="D183">
        <f t="shared" si="185"/>
        <v>1.0657676317492799E-6</v>
      </c>
      <c r="E183">
        <f t="shared" si="185"/>
        <v>1.9222243107755814E-6</v>
      </c>
      <c r="F183">
        <f t="shared" si="185"/>
        <v>3.3595879881689971E-6</v>
      </c>
      <c r="G183">
        <f t="shared" si="185"/>
        <v>5.6899622948272026E-6</v>
      </c>
      <c r="H183">
        <f t="shared" si="185"/>
        <v>9.3384824741209675E-6</v>
      </c>
      <c r="I183">
        <f t="shared" si="185"/>
        <v>1.4852217440063399E-5</v>
      </c>
      <c r="J183">
        <f t="shared" si="185"/>
        <v>2.2890950541360944E-5</v>
      </c>
      <c r="K183">
        <f t="shared" si="185"/>
        <v>3.4191134658170782E-5</v>
      </c>
      <c r="L183">
        <f t="shared" si="185"/>
        <v>4.9497196296507922E-5</v>
      </c>
      <c r="M183">
        <f t="shared" si="185"/>
        <v>6.9461911480032541E-5</v>
      </c>
      <c r="N183">
        <f t="shared" si="185"/>
        <v>9.4531305379216211E-5</v>
      </c>
      <c r="O183">
        <f t="shared" si="185"/>
        <v>1.2485088052270935E-4</v>
      </c>
      <c r="P183">
        <f t="shared" si="185"/>
        <v>1.6026060097595074E-4</v>
      </c>
      <c r="Q183">
        <f t="shared" si="185"/>
        <v>2.004881311156736E-4</v>
      </c>
      <c r="R183">
        <f t="shared" si="185"/>
        <v>2.4570563116765051E-4</v>
      </c>
      <c r="S183">
        <f t="shared" si="185"/>
        <v>2.9768466187370275E-4</v>
      </c>
      <c r="T183">
        <f t="shared" si="185"/>
        <v>3.6185703197826415E-4</v>
      </c>
      <c r="U183">
        <f t="shared" si="185"/>
        <v>4.5063740244138397E-4</v>
      </c>
      <c r="V183">
        <f t="shared" si="185"/>
        <v>5.8832517118727204E-4</v>
      </c>
      <c r="W183">
        <f t="shared" si="185"/>
        <v>8.1768240368390718E-4</v>
      </c>
      <c r="X183">
        <f t="shared" si="185"/>
        <v>1.207768875752083E-3</v>
      </c>
      <c r="Y183">
        <f t="shared" si="185"/>
        <v>1.8617312671822669E-3</v>
      </c>
      <c r="Z183">
        <f t="shared" si="185"/>
        <v>2.9220492653648684E-3</v>
      </c>
      <c r="AA183">
        <f t="shared" si="185"/>
        <v>4.5695276558656685E-3</v>
      </c>
      <c r="AB183">
        <f t="shared" si="185"/>
        <v>7.0116602664435142E-3</v>
      </c>
      <c r="AC183">
        <f t="shared" si="185"/>
        <v>1.0456635496295311E-2</v>
      </c>
      <c r="AD183">
        <f t="shared" si="185"/>
        <v>1.5071861547837191E-2</v>
      </c>
      <c r="AE183">
        <f t="shared" si="185"/>
        <v>2.0930580727011129E-2</v>
      </c>
      <c r="AF183">
        <f t="shared" si="185"/>
        <v>2.7956078363237779E-2</v>
      </c>
      <c r="AG183">
        <f t="shared" si="185"/>
        <v>3.587826435930614E-2</v>
      </c>
      <c r="AH183">
        <f t="shared" si="185"/>
        <v>4.4219469687379026E-2</v>
      </c>
      <c r="AI183">
        <f t="shared" si="185"/>
        <v>5.23229809574468E-2</v>
      </c>
      <c r="AJ183">
        <f t="shared" si="185"/>
        <v>5.9428565936586408E-2</v>
      </c>
      <c r="AK183">
        <f t="shared" si="185"/>
        <v>6.4785906897454726E-2</v>
      </c>
      <c r="AL183">
        <f t="shared" si="185"/>
        <v>6.7783626932160487E-2</v>
      </c>
      <c r="AM183">
        <f t="shared" si="185"/>
        <v>6.8063533083691383E-2</v>
      </c>
      <c r="AN183">
        <f t="shared" si="185"/>
        <v>6.5590621394213025E-2</v>
      </c>
      <c r="AO183">
        <f t="shared" si="185"/>
        <v>6.0659940125924336E-2</v>
      </c>
      <c r="AP183">
        <f t="shared" si="185"/>
        <v>5.3838440741559385E-2</v>
      </c>
      <c r="AQ183">
        <f t="shared" si="185"/>
        <v>4.5857631482916869E-2</v>
      </c>
      <c r="AR183">
        <f t="shared" si="185"/>
        <v>3.7485080506289382E-2</v>
      </c>
      <c r="AS183">
        <f t="shared" si="185"/>
        <v>2.9405757446689312E-2</v>
      </c>
      <c r="AT183">
        <f t="shared" si="185"/>
        <v>2.2137727116211887E-2</v>
      </c>
      <c r="AU183">
        <f t="shared" si="185"/>
        <v>1.599411463816031E-2</v>
      </c>
      <c r="AV183">
        <f t="shared" si="185"/>
        <v>1.1089545770576333E-2</v>
      </c>
      <c r="AW183">
        <f t="shared" si="185"/>
        <v>7.3789336205570613E-3</v>
      </c>
      <c r="AX183">
        <f t="shared" si="185"/>
        <v>4.7119393043920377E-3</v>
      </c>
      <c r="AY183">
        <f t="shared" si="185"/>
        <v>2.8875663704729933E-3</v>
      </c>
      <c r="AZ183">
        <f t="shared" si="185"/>
        <v>1.6982062868128344E-3</v>
      </c>
      <c r="BA183">
        <f t="shared" si="185"/>
        <v>9.5846240003007502E-4</v>
      </c>
    </row>
    <row r="184" spans="1:53" x14ac:dyDescent="0.25">
      <c r="A184" s="1">
        <v>35</v>
      </c>
      <c r="B184" s="2">
        <f t="shared" si="153"/>
        <v>3.5104881451051826</v>
      </c>
      <c r="C184">
        <f>C68*$G$1+C126*$G$11</f>
        <v>2.7010175083891542E-7</v>
      </c>
      <c r="D184">
        <f t="shared" ref="D184:BA184" si="186">D68*$G$1+D126*$G$11</f>
        <v>5.0558188269449756E-7</v>
      </c>
      <c r="E184">
        <f t="shared" si="186"/>
        <v>9.1705693187467694E-7</v>
      </c>
      <c r="F184">
        <f t="shared" si="186"/>
        <v>1.6119185991337408E-6</v>
      </c>
      <c r="G184">
        <f t="shared" si="186"/>
        <v>2.7455840823782194E-6</v>
      </c>
      <c r="H184">
        <f t="shared" si="186"/>
        <v>4.5318672600930322E-6</v>
      </c>
      <c r="I184">
        <f t="shared" si="186"/>
        <v>7.2490794231604392E-6</v>
      </c>
      <c r="J184">
        <f t="shared" si="186"/>
        <v>1.1237702987601429E-5</v>
      </c>
      <c r="K184">
        <f t="shared" si="186"/>
        <v>1.6885503359387888E-5</v>
      </c>
      <c r="L184">
        <f t="shared" si="186"/>
        <v>2.4597958475115511E-5</v>
      </c>
      <c r="M184">
        <f t="shared" si="186"/>
        <v>3.4757332043868027E-5</v>
      </c>
      <c r="N184">
        <f t="shared" si="186"/>
        <v>4.7684579151799028E-5</v>
      </c>
      <c r="O184">
        <f t="shared" si="186"/>
        <v>6.363736234652491E-5</v>
      </c>
      <c r="P184">
        <f t="shared" si="186"/>
        <v>8.2908749706940462E-5</v>
      </c>
      <c r="Q184">
        <f t="shared" si="186"/>
        <v>1.061397499262986E-4</v>
      </c>
      <c r="R184">
        <f t="shared" si="186"/>
        <v>1.3502939970724183E-4</v>
      </c>
      <c r="S184">
        <f t="shared" si="186"/>
        <v>1.7371835800903513E-4</v>
      </c>
      <c r="T184">
        <f t="shared" si="186"/>
        <v>2.3122144414657768E-4</v>
      </c>
      <c r="U184">
        <f t="shared" si="186"/>
        <v>3.2534937395828074E-4</v>
      </c>
      <c r="V184">
        <f t="shared" si="186"/>
        <v>4.8850810003132027E-4</v>
      </c>
      <c r="W184">
        <f t="shared" si="186"/>
        <v>7.7547320471805094E-4</v>
      </c>
      <c r="X184">
        <f t="shared" si="186"/>
        <v>1.2725727673839897E-3</v>
      </c>
      <c r="Y184">
        <f t="shared" si="186"/>
        <v>2.1066023236995823E-3</v>
      </c>
      <c r="Z184">
        <f t="shared" si="186"/>
        <v>3.4503417247523792E-3</v>
      </c>
      <c r="AA184">
        <f t="shared" si="186"/>
        <v>5.5201368882092025E-3</v>
      </c>
      <c r="AB184">
        <f t="shared" si="186"/>
        <v>8.5603661519355872E-3</v>
      </c>
      <c r="AC184">
        <f t="shared" si="186"/>
        <v>1.2810634089591929E-2</v>
      </c>
      <c r="AD184">
        <f t="shared" si="186"/>
        <v>1.8454946400895796E-2</v>
      </c>
      <c r="AE184">
        <f t="shared" si="186"/>
        <v>2.5557927666124178E-2</v>
      </c>
      <c r="AF184">
        <f t="shared" si="186"/>
        <v>3.4000185991289011E-2</v>
      </c>
      <c r="AG184">
        <f t="shared" si="186"/>
        <v>4.3430809458139333E-2</v>
      </c>
      <c r="AH184">
        <f t="shared" si="186"/>
        <v>5.3256682109644453E-2</v>
      </c>
      <c r="AI184">
        <f t="shared" si="186"/>
        <v>6.2683446052812397E-2</v>
      </c>
      <c r="AJ184">
        <f t="shared" si="186"/>
        <v>7.0811197012599067E-2</v>
      </c>
      <c r="AK184">
        <f t="shared" si="186"/>
        <v>7.6772008747495291E-2</v>
      </c>
      <c r="AL184">
        <f t="shared" si="186"/>
        <v>7.988130736790261E-2</v>
      </c>
      <c r="AM184">
        <f t="shared" si="186"/>
        <v>7.9766871149063806E-2</v>
      </c>
      <c r="AN184">
        <f t="shared" si="186"/>
        <v>7.6441900481069094E-2</v>
      </c>
      <c r="AO184">
        <f t="shared" si="186"/>
        <v>7.0302341234932009E-2</v>
      </c>
      <c r="AP184">
        <f t="shared" si="186"/>
        <v>6.2049205358469257E-2</v>
      </c>
      <c r="AQ184">
        <f t="shared" si="186"/>
        <v>5.2556933661225561E-2</v>
      </c>
      <c r="AR184">
        <f t="shared" si="186"/>
        <v>4.2721914896746691E-2</v>
      </c>
      <c r="AS184">
        <f t="shared" si="186"/>
        <v>3.3327137622803517E-2</v>
      </c>
      <c r="AT184">
        <f t="shared" si="186"/>
        <v>2.4950069367686213E-2</v>
      </c>
      <c r="AU184">
        <f t="shared" si="186"/>
        <v>1.7925522743344455E-2</v>
      </c>
      <c r="AV184">
        <f t="shared" si="186"/>
        <v>1.2359422045693132E-2</v>
      </c>
      <c r="AW184">
        <f t="shared" si="186"/>
        <v>8.1780679362780193E-3</v>
      </c>
      <c r="AX184">
        <f t="shared" si="186"/>
        <v>5.1931331257133303E-3</v>
      </c>
      <c r="AY184">
        <f t="shared" si="186"/>
        <v>3.1647132879988027E-3</v>
      </c>
      <c r="AZ184">
        <f t="shared" si="186"/>
        <v>1.8508253815116404E-3</v>
      </c>
      <c r="BA184">
        <f t="shared" si="186"/>
        <v>1.0387778403070937E-3</v>
      </c>
    </row>
    <row r="185" spans="1:53" x14ac:dyDescent="0.25">
      <c r="A185" s="1">
        <v>36</v>
      </c>
      <c r="B185" s="2">
        <f t="shared" si="153"/>
        <v>3.7016748130305794</v>
      </c>
      <c r="C185">
        <f t="shared" ref="C185:BA185" si="187">C69*$G$1+C127*$G$11</f>
        <v>1.2278014990718145E-7</v>
      </c>
      <c r="D185">
        <f t="shared" si="187"/>
        <v>2.3112980718392269E-7</v>
      </c>
      <c r="E185">
        <f t="shared" si="187"/>
        <v>4.2162519533085979E-7</v>
      </c>
      <c r="F185">
        <f t="shared" si="187"/>
        <v>7.4532153703084764E-7</v>
      </c>
      <c r="G185">
        <f t="shared" si="187"/>
        <v>1.2767772646787272E-6</v>
      </c>
      <c r="H185">
        <f t="shared" si="187"/>
        <v>2.119616649229469E-6</v>
      </c>
      <c r="I185">
        <f t="shared" si="187"/>
        <v>3.4103896474857965E-6</v>
      </c>
      <c r="J185">
        <f t="shared" si="187"/>
        <v>5.3189292925986642E-6</v>
      </c>
      <c r="K185">
        <f t="shared" si="187"/>
        <v>8.0437295530010246E-6</v>
      </c>
      <c r="L185">
        <f t="shared" si="187"/>
        <v>1.1802719552980965E-5</v>
      </c>
      <c r="M185">
        <f t="shared" si="187"/>
        <v>1.682462849552344E-5</v>
      </c>
      <c r="N185">
        <f t="shared" si="187"/>
        <v>2.3356284245931142E-5</v>
      </c>
      <c r="O185">
        <f t="shared" si="187"/>
        <v>3.1720434043173034E-5</v>
      </c>
      <c r="P185">
        <f t="shared" si="187"/>
        <v>4.2492568573768016E-5</v>
      </c>
      <c r="Q185">
        <f t="shared" si="187"/>
        <v>5.692074271991336E-5</v>
      </c>
      <c r="R185">
        <f t="shared" si="187"/>
        <v>7.7795522631994278E-5</v>
      </c>
      <c r="S185">
        <f t="shared" si="187"/>
        <v>1.1108679279624391E-4</v>
      </c>
      <c r="T185">
        <f t="shared" si="187"/>
        <v>1.687805530969299E-4</v>
      </c>
      <c r="U185">
        <f t="shared" si="187"/>
        <v>2.7341843765408907E-4</v>
      </c>
      <c r="V185">
        <f t="shared" si="187"/>
        <v>4.6476508081474407E-4</v>
      </c>
      <c r="W185">
        <f t="shared" si="187"/>
        <v>8.0865988835303901E-4</v>
      </c>
      <c r="X185">
        <f t="shared" si="187"/>
        <v>1.4073022034777948E-3</v>
      </c>
      <c r="Y185">
        <f t="shared" si="187"/>
        <v>2.4089089919592421E-3</v>
      </c>
      <c r="Z185">
        <f t="shared" si="187"/>
        <v>4.0130240425088537E-3</v>
      </c>
      <c r="AA185">
        <f t="shared" si="187"/>
        <v>6.4662367637104588E-3</v>
      </c>
      <c r="AB185">
        <f t="shared" si="187"/>
        <v>1.0042533172706404E-2</v>
      </c>
      <c r="AC185">
        <f t="shared" si="187"/>
        <v>1.5003964775746861E-2</v>
      </c>
      <c r="AD185">
        <f t="shared" si="187"/>
        <v>2.1541518095324813E-2</v>
      </c>
      <c r="AE185">
        <f t="shared" si="187"/>
        <v>2.9702855623036883E-2</v>
      </c>
      <c r="AF185">
        <f t="shared" si="187"/>
        <v>3.9321479374535263E-2</v>
      </c>
      <c r="AG185">
        <f t="shared" si="187"/>
        <v>4.9968010569375949E-2</v>
      </c>
      <c r="AH185">
        <f t="shared" si="187"/>
        <v>6.0945313081869325E-2</v>
      </c>
      <c r="AI185">
        <f t="shared" si="187"/>
        <v>7.1342672289147951E-2</v>
      </c>
      <c r="AJ185">
        <f t="shared" si="187"/>
        <v>8.0150237527271476E-2</v>
      </c>
      <c r="AK185">
        <f t="shared" si="187"/>
        <v>8.6416827465466653E-2</v>
      </c>
      <c r="AL185">
        <f t="shared" si="187"/>
        <v>8.9418020267743134E-2</v>
      </c>
      <c r="AM185">
        <f t="shared" si="187"/>
        <v>8.8793703856810624E-2</v>
      </c>
      <c r="AN185">
        <f t="shared" si="187"/>
        <v>8.4619022717611639E-2</v>
      </c>
      <c r="AO185">
        <f t="shared" si="187"/>
        <v>7.7389412155670231E-2</v>
      </c>
      <c r="AP185">
        <f t="shared" si="187"/>
        <v>6.7923834720517801E-2</v>
      </c>
      <c r="AQ185">
        <f t="shared" si="187"/>
        <v>5.721232344238366E-2</v>
      </c>
      <c r="AR185">
        <f t="shared" si="187"/>
        <v>4.6246991881719587E-2</v>
      </c>
      <c r="AS185">
        <f t="shared" si="187"/>
        <v>3.5875979797206053E-2</v>
      </c>
      <c r="AT185">
        <f t="shared" si="187"/>
        <v>2.6708551959850731E-2</v>
      </c>
      <c r="AU185">
        <f t="shared" si="187"/>
        <v>1.9081967476346627E-2</v>
      </c>
      <c r="AV185">
        <f t="shared" si="187"/>
        <v>1.3083446471299491E-2</v>
      </c>
      <c r="AW185">
        <f t="shared" si="187"/>
        <v>8.6088938457252306E-3</v>
      </c>
      <c r="AX185">
        <f t="shared" si="187"/>
        <v>5.4362410972376768E-3</v>
      </c>
      <c r="AY185">
        <f t="shared" si="187"/>
        <v>3.2943991941851171E-3</v>
      </c>
      <c r="AZ185">
        <f t="shared" si="187"/>
        <v>1.9159311016127593E-3</v>
      </c>
      <c r="BA185">
        <f t="shared" si="187"/>
        <v>1.0693249465161228E-3</v>
      </c>
    </row>
    <row r="186" spans="1:53" x14ac:dyDescent="0.25">
      <c r="A186" s="1">
        <v>37</v>
      </c>
      <c r="B186" s="2">
        <f t="shared" si="153"/>
        <v>3.8928614809559772</v>
      </c>
      <c r="C186">
        <f t="shared" ref="C186:BA186" si="188">C70*$G$1+C128*$G$11</f>
        <v>5.3785484967395446E-8</v>
      </c>
      <c r="D186">
        <f t="shared" si="188"/>
        <v>1.0182629335476868E-7</v>
      </c>
      <c r="E186">
        <f t="shared" si="188"/>
        <v>1.8681145568545276E-7</v>
      </c>
      <c r="F186">
        <f t="shared" si="188"/>
        <v>3.3212845915002056E-7</v>
      </c>
      <c r="G186">
        <f t="shared" si="188"/>
        <v>5.7225439920192861E-7</v>
      </c>
      <c r="H186">
        <f t="shared" si="188"/>
        <v>9.5564561496827373E-7</v>
      </c>
      <c r="I186">
        <f t="shared" si="188"/>
        <v>1.5471038487977754E-6</v>
      </c>
      <c r="J186">
        <f t="shared" si="188"/>
        <v>2.4290626716891824E-6</v>
      </c>
      <c r="K186">
        <f t="shared" si="188"/>
        <v>3.7018288787183638E-6</v>
      </c>
      <c r="L186">
        <f t="shared" si="188"/>
        <v>5.4847972106514363E-6</v>
      </c>
      <c r="M186">
        <f t="shared" si="188"/>
        <v>7.9255333426626481E-6</v>
      </c>
      <c r="N186">
        <f t="shared" si="188"/>
        <v>1.123406317284677E-5</v>
      </c>
      <c r="O186">
        <f t="shared" si="188"/>
        <v>1.5780143695577807E-5</v>
      </c>
      <c r="P186">
        <f t="shared" si="188"/>
        <v>2.232827805114753E-5</v>
      </c>
      <c r="Q186">
        <f t="shared" si="188"/>
        <v>3.2546816098165462E-5</v>
      </c>
      <c r="R186">
        <f t="shared" si="188"/>
        <v>5.0020054773316009E-5</v>
      </c>
      <c r="S186">
        <f t="shared" si="188"/>
        <v>8.211310124783804E-5</v>
      </c>
      <c r="T186">
        <f t="shared" si="188"/>
        <v>1.4316354193838699E-4</v>
      </c>
      <c r="U186">
        <f t="shared" si="188"/>
        <v>2.595380532902288E-4</v>
      </c>
      <c r="V186">
        <f t="shared" si="188"/>
        <v>4.7698129783113282E-4</v>
      </c>
      <c r="W186">
        <f t="shared" si="188"/>
        <v>8.7024086266062847E-4</v>
      </c>
      <c r="X186">
        <f t="shared" si="188"/>
        <v>1.5540229616329189E-3</v>
      </c>
      <c r="Y186">
        <f t="shared" si="188"/>
        <v>2.6928739353443152E-3</v>
      </c>
      <c r="Z186">
        <f t="shared" si="188"/>
        <v>4.505796352196419E-3</v>
      </c>
      <c r="AA186">
        <f t="shared" si="188"/>
        <v>7.259870603544512E-3</v>
      </c>
      <c r="AB186">
        <f t="shared" si="188"/>
        <v>1.124680506546453E-2</v>
      </c>
      <c r="AC186">
        <f t="shared" si="188"/>
        <v>1.6738250409840408E-2</v>
      </c>
      <c r="AD186">
        <f t="shared" si="188"/>
        <v>2.3920579674482783E-2</v>
      </c>
      <c r="AE186">
        <f t="shared" si="188"/>
        <v>3.2817330087315827E-2</v>
      </c>
      <c r="AF186">
        <f t="shared" si="188"/>
        <v>4.3215823741679711E-2</v>
      </c>
      <c r="AG186">
        <f t="shared" si="188"/>
        <v>5.4620479531938888E-2</v>
      </c>
      <c r="AH186">
        <f t="shared" si="188"/>
        <v>6.625545050111023E-2</v>
      </c>
      <c r="AI186">
        <f t="shared" si="188"/>
        <v>7.7131146375436527E-2</v>
      </c>
      <c r="AJ186">
        <f t="shared" si="188"/>
        <v>8.6173453842311537E-2</v>
      </c>
      <c r="AK186">
        <f t="shared" si="188"/>
        <v>9.2395101684128636E-2</v>
      </c>
      <c r="AL186">
        <f t="shared" si="188"/>
        <v>9.5072276909886913E-2</v>
      </c>
      <c r="AM186">
        <f t="shared" si="188"/>
        <v>9.3883012700186619E-2</v>
      </c>
      <c r="AN186">
        <f t="shared" si="188"/>
        <v>8.8970805824285543E-2</v>
      </c>
      <c r="AO186">
        <f t="shared" si="188"/>
        <v>8.0916099034414393E-2</v>
      </c>
      <c r="AP186">
        <f t="shared" si="188"/>
        <v>7.0623456148653965E-2</v>
      </c>
      <c r="AQ186">
        <f t="shared" si="188"/>
        <v>5.9154724449295704E-2</v>
      </c>
      <c r="AR186">
        <f t="shared" si="188"/>
        <v>4.7550625364645792E-2</v>
      </c>
      <c r="AS186">
        <f t="shared" si="188"/>
        <v>3.6681686110712541E-2</v>
      </c>
      <c r="AT186">
        <f t="shared" si="188"/>
        <v>2.7156172852553652E-2</v>
      </c>
      <c r="AU186">
        <f t="shared" si="188"/>
        <v>1.9293633652700117E-2</v>
      </c>
      <c r="AV186">
        <f t="shared" si="188"/>
        <v>1.315484282033421E-2</v>
      </c>
      <c r="AW186">
        <f t="shared" si="188"/>
        <v>8.6076273997764182E-3</v>
      </c>
      <c r="AX186">
        <f t="shared" si="188"/>
        <v>5.405145741944054E-3</v>
      </c>
      <c r="AY186">
        <f t="shared" si="188"/>
        <v>3.2572981019075319E-3</v>
      </c>
      <c r="AZ186">
        <f t="shared" si="188"/>
        <v>1.8837954737367765E-3</v>
      </c>
      <c r="BA186">
        <f t="shared" si="188"/>
        <v>1.0455291242098344E-3</v>
      </c>
    </row>
    <row r="187" spans="1:53" x14ac:dyDescent="0.25">
      <c r="A187" s="1">
        <v>38</v>
      </c>
      <c r="B187" s="2">
        <f t="shared" si="153"/>
        <v>4.0840481488813749</v>
      </c>
      <c r="C187">
        <f t="shared" ref="C187:BA187" si="189">C71*$G$1+C129*$G$11</f>
        <v>2.2706150110239012E-8</v>
      </c>
      <c r="D187">
        <f t="shared" si="189"/>
        <v>4.3232943526897512E-8</v>
      </c>
      <c r="E187">
        <f t="shared" si="189"/>
        <v>7.9772134298178961E-8</v>
      </c>
      <c r="F187">
        <f t="shared" si="189"/>
        <v>1.4265296209105625E-7</v>
      </c>
      <c r="G187">
        <f t="shared" si="189"/>
        <v>2.4726424598006948E-7</v>
      </c>
      <c r="H187">
        <f t="shared" si="189"/>
        <v>4.1553764794405085E-7</v>
      </c>
      <c r="I187">
        <f t="shared" si="189"/>
        <v>6.7742995628405144E-7</v>
      </c>
      <c r="J187">
        <f t="shared" si="189"/>
        <v>1.0724875229734945E-6</v>
      </c>
      <c r="K187">
        <f t="shared" si="189"/>
        <v>1.6523702729976526E-6</v>
      </c>
      <c r="L187">
        <f t="shared" si="189"/>
        <v>2.4873981176574512E-6</v>
      </c>
      <c r="M187">
        <f t="shared" si="189"/>
        <v>3.6853350926695761E-6</v>
      </c>
      <c r="N187">
        <f t="shared" si="189"/>
        <v>5.4416334656793766E-6</v>
      </c>
      <c r="O187">
        <f t="shared" si="189"/>
        <v>8.1620401862647103E-6</v>
      </c>
      <c r="P187">
        <f t="shared" si="189"/>
        <v>1.2737887196444233E-5</v>
      </c>
      <c r="Q187">
        <f t="shared" si="189"/>
        <v>2.1119949648328845E-5</v>
      </c>
      <c r="R187">
        <f t="shared" si="189"/>
        <v>3.743450197726193E-5</v>
      </c>
      <c r="S187">
        <f t="shared" si="189"/>
        <v>7.0010432239247801E-5</v>
      </c>
      <c r="T187">
        <f t="shared" si="189"/>
        <v>1.3480961531285048E-4</v>
      </c>
      <c r="U187">
        <f t="shared" si="189"/>
        <v>2.6080324037881287E-4</v>
      </c>
      <c r="V187">
        <f t="shared" si="189"/>
        <v>4.976911657947864E-4</v>
      </c>
      <c r="W187">
        <f t="shared" si="189"/>
        <v>9.2585645079082401E-4</v>
      </c>
      <c r="X187">
        <f t="shared" si="189"/>
        <v>1.6674359369897665E-3</v>
      </c>
      <c r="Y187">
        <f t="shared" si="189"/>
        <v>2.8958496622003564E-3</v>
      </c>
      <c r="Z187">
        <f t="shared" si="189"/>
        <v>4.8393182888331497E-3</v>
      </c>
      <c r="AA187">
        <f t="shared" si="189"/>
        <v>7.7724439997371849E-3</v>
      </c>
      <c r="AB187">
        <f t="shared" si="189"/>
        <v>1.1989825471201417E-2</v>
      </c>
      <c r="AC187">
        <f t="shared" si="189"/>
        <v>1.7757985835049006E-2</v>
      </c>
      <c r="AD187">
        <f t="shared" si="189"/>
        <v>2.524721230736653E-2</v>
      </c>
      <c r="AE187">
        <f t="shared" si="189"/>
        <v>3.4452725074636495E-2</v>
      </c>
      <c r="AF187">
        <f t="shared" si="189"/>
        <v>4.5122882643996151E-2</v>
      </c>
      <c r="AG187">
        <f t="shared" si="189"/>
        <v>5.6717579527507764E-2</v>
      </c>
      <c r="AH187">
        <f t="shared" si="189"/>
        <v>6.8419081924480096E-2</v>
      </c>
      <c r="AI187">
        <f t="shared" si="189"/>
        <v>7.920823877897154E-2</v>
      </c>
      <c r="AJ187">
        <f t="shared" si="189"/>
        <v>8.8002302277206457E-2</v>
      </c>
      <c r="AK187">
        <f t="shared" si="189"/>
        <v>9.3831035966573842E-2</v>
      </c>
      <c r="AL187">
        <f t="shared" si="189"/>
        <v>9.6012270949792158E-2</v>
      </c>
      <c r="AM187">
        <f t="shared" si="189"/>
        <v>9.4283153553273505E-2</v>
      </c>
      <c r="AN187">
        <f t="shared" si="189"/>
        <v>8.8852204575574537E-2</v>
      </c>
      <c r="AO187">
        <f t="shared" si="189"/>
        <v>8.0357947367550378E-2</v>
      </c>
      <c r="AP187">
        <f t="shared" si="189"/>
        <v>6.9745443398255599E-2</v>
      </c>
      <c r="AQ187">
        <f t="shared" si="189"/>
        <v>5.8093712992025981E-2</v>
      </c>
      <c r="AR187">
        <f t="shared" si="189"/>
        <v>4.6437482310208812E-2</v>
      </c>
      <c r="AS187">
        <f t="shared" si="189"/>
        <v>3.5623320463063025E-2</v>
      </c>
      <c r="AT187">
        <f t="shared" si="189"/>
        <v>2.6225652914147621E-2</v>
      </c>
      <c r="AU187">
        <f t="shared" si="189"/>
        <v>1.8528675949507127E-2</v>
      </c>
      <c r="AV187">
        <f t="shared" si="189"/>
        <v>1.2562862861151065E-2</v>
      </c>
      <c r="AW187">
        <f t="shared" si="189"/>
        <v>8.1744586685490884E-3</v>
      </c>
      <c r="AX187">
        <f t="shared" si="189"/>
        <v>5.1045273151976382E-3</v>
      </c>
      <c r="AY187">
        <f t="shared" si="189"/>
        <v>3.0589910469454792E-3</v>
      </c>
      <c r="AZ187">
        <f t="shared" si="189"/>
        <v>1.759247821264304E-3</v>
      </c>
      <c r="BA187">
        <f t="shared" si="189"/>
        <v>9.7096143068973215E-4</v>
      </c>
    </row>
    <row r="188" spans="1:53" x14ac:dyDescent="0.25">
      <c r="A188" s="1">
        <v>39</v>
      </c>
      <c r="B188" s="2">
        <f t="shared" si="153"/>
        <v>4.2752348168067726</v>
      </c>
      <c r="C188">
        <f t="shared" ref="C188:BA188" si="190">C72*$G$1+C130*$G$11</f>
        <v>9.2380071512714704E-9</v>
      </c>
      <c r="D188">
        <f t="shared" si="190"/>
        <v>1.7690985654883865E-8</v>
      </c>
      <c r="E188">
        <f t="shared" si="190"/>
        <v>3.2834883998253351E-8</v>
      </c>
      <c r="F188">
        <f t="shared" si="190"/>
        <v>5.9075036881674593E-8</v>
      </c>
      <c r="G188">
        <f t="shared" si="190"/>
        <v>1.0306485149084927E-7</v>
      </c>
      <c r="H188">
        <f t="shared" si="190"/>
        <v>1.7448659636918043E-7</v>
      </c>
      <c r="I188">
        <f t="shared" si="190"/>
        <v>2.870546709118997E-7</v>
      </c>
      <c r="J188">
        <f t="shared" si="190"/>
        <v>4.6014212443398354E-7</v>
      </c>
      <c r="K188">
        <f t="shared" si="190"/>
        <v>7.2235604198900875E-7</v>
      </c>
      <c r="L188">
        <f t="shared" si="190"/>
        <v>1.1207292459017032E-6</v>
      </c>
      <c r="M188">
        <f t="shared" si="190"/>
        <v>1.7445713568841847E-6</v>
      </c>
      <c r="N188">
        <f t="shared" si="190"/>
        <v>2.7844064139479436E-6</v>
      </c>
      <c r="O188">
        <f t="shared" si="190"/>
        <v>4.6687520767783245E-6</v>
      </c>
      <c r="P188">
        <f t="shared" si="190"/>
        <v>8.3618802011331748E-6</v>
      </c>
      <c r="Q188">
        <f t="shared" si="190"/>
        <v>1.5972291397353061E-5</v>
      </c>
      <c r="R188">
        <f t="shared" si="190"/>
        <v>3.1919542254278687E-5</v>
      </c>
      <c r="S188">
        <f t="shared" si="190"/>
        <v>6.5029548567284456E-5</v>
      </c>
      <c r="T188">
        <f t="shared" si="190"/>
        <v>1.3204291960529547E-4</v>
      </c>
      <c r="U188">
        <f t="shared" si="190"/>
        <v>2.6305260404811047E-4</v>
      </c>
      <c r="V188">
        <f t="shared" si="190"/>
        <v>5.0921108582866652E-4</v>
      </c>
      <c r="W188">
        <f t="shared" si="190"/>
        <v>9.5250459536240408E-4</v>
      </c>
      <c r="X188">
        <f t="shared" si="190"/>
        <v>1.7163501803549664E-3</v>
      </c>
      <c r="Y188">
        <f t="shared" si="190"/>
        <v>2.9742383045943364E-3</v>
      </c>
      <c r="Z188">
        <f t="shared" si="190"/>
        <v>4.9519055613201782E-3</v>
      </c>
      <c r="AA188">
        <f t="shared" si="190"/>
        <v>7.9172409932763369E-3</v>
      </c>
      <c r="AB188">
        <f t="shared" si="190"/>
        <v>1.2152285945492685E-2</v>
      </c>
      <c r="AC188">
        <f t="shared" si="190"/>
        <v>1.7904276951188264E-2</v>
      </c>
      <c r="AD188">
        <f t="shared" si="190"/>
        <v>2.5318168555537375E-2</v>
      </c>
      <c r="AE188">
        <f t="shared" si="190"/>
        <v>3.4360782249117941E-2</v>
      </c>
      <c r="AF188">
        <f t="shared" si="190"/>
        <v>4.4754515198036034E-2</v>
      </c>
      <c r="AG188">
        <f t="shared" si="190"/>
        <v>5.5943126193670416E-2</v>
      </c>
      <c r="AH188">
        <f t="shared" si="190"/>
        <v>6.7110212679723669E-2</v>
      </c>
      <c r="AI188">
        <f t="shared" si="190"/>
        <v>7.726096731575785E-2</v>
      </c>
      <c r="AJ188">
        <f t="shared" si="190"/>
        <v>8.5361083034011007E-2</v>
      </c>
      <c r="AK188">
        <f t="shared" si="190"/>
        <v>9.0508030251550284E-2</v>
      </c>
      <c r="AL188">
        <f t="shared" si="190"/>
        <v>9.209609907887191E-2</v>
      </c>
      <c r="AM188">
        <f t="shared" si="190"/>
        <v>8.9933600769009858E-2</v>
      </c>
      <c r="AN188">
        <f t="shared" si="190"/>
        <v>8.4280901288413895E-2</v>
      </c>
      <c r="AO188">
        <f t="shared" si="190"/>
        <v>7.5798862824510232E-2</v>
      </c>
      <c r="AP188">
        <f t="shared" si="190"/>
        <v>6.5421796991128364E-2</v>
      </c>
      <c r="AQ188">
        <f t="shared" si="190"/>
        <v>5.4188666558393425E-2</v>
      </c>
      <c r="AR188">
        <f t="shared" si="190"/>
        <v>4.3074540009149904E-2</v>
      </c>
      <c r="AS188">
        <f t="shared" si="190"/>
        <v>3.2859352678037558E-2</v>
      </c>
      <c r="AT188">
        <f t="shared" si="190"/>
        <v>2.4056005760174335E-2</v>
      </c>
      <c r="AU188">
        <f t="shared" si="190"/>
        <v>1.6901069485949185E-2</v>
      </c>
      <c r="AV188">
        <f t="shared" si="190"/>
        <v>1.1395437500824706E-2</v>
      </c>
      <c r="AW188">
        <f t="shared" si="190"/>
        <v>7.3735047565736582E-3</v>
      </c>
      <c r="AX188">
        <f t="shared" si="190"/>
        <v>4.5787092742705492E-3</v>
      </c>
      <c r="AY188">
        <f t="shared" si="190"/>
        <v>2.7285901962465788E-3</v>
      </c>
      <c r="AZ188">
        <f t="shared" si="190"/>
        <v>1.5604853669122663E-3</v>
      </c>
      <c r="BA188">
        <f t="shared" si="190"/>
        <v>8.5646028013988532E-4</v>
      </c>
    </row>
    <row r="189" spans="1:53" x14ac:dyDescent="0.25">
      <c r="A189" s="1">
        <v>40</v>
      </c>
      <c r="B189" s="2">
        <f t="shared" si="153"/>
        <v>4.4664214847321704</v>
      </c>
      <c r="C189">
        <f t="shared" ref="C189:BA189" si="191">C73*$G$1+C131*$G$11</f>
        <v>3.6225176966532745E-9</v>
      </c>
      <c r="D189">
        <f t="shared" si="191"/>
        <v>6.9784237976642131E-9</v>
      </c>
      <c r="E189">
        <f t="shared" si="191"/>
        <v>1.3032671432793856E-8</v>
      </c>
      <c r="F189">
        <f t="shared" si="191"/>
        <v>2.3606823023699486E-8</v>
      </c>
      <c r="G189">
        <f t="shared" si="191"/>
        <v>4.1511356676638269E-8</v>
      </c>
      <c r="H189">
        <f t="shared" si="191"/>
        <v>7.0990938050401746E-8</v>
      </c>
      <c r="I189">
        <f t="shared" si="191"/>
        <v>1.1848065345403972E-7</v>
      </c>
      <c r="J189">
        <f t="shared" si="191"/>
        <v>1.942176151333974E-7</v>
      </c>
      <c r="K189">
        <f t="shared" si="191"/>
        <v>3.1623609125538698E-7</v>
      </c>
      <c r="L189">
        <f t="shared" si="191"/>
        <v>5.2067030579849945E-7</v>
      </c>
      <c r="M189">
        <f t="shared" si="191"/>
        <v>8.8769265165790321E-7</v>
      </c>
      <c r="N189">
        <f t="shared" si="191"/>
        <v>1.6037437751402846E-6</v>
      </c>
      <c r="O189">
        <f t="shared" si="191"/>
        <v>3.1027455571276758E-6</v>
      </c>
      <c r="P189">
        <f t="shared" si="191"/>
        <v>6.3684724964306522E-6</v>
      </c>
      <c r="Q189">
        <f t="shared" si="191"/>
        <v>1.3544588787814559E-5</v>
      </c>
      <c r="R189">
        <f t="shared" si="191"/>
        <v>2.9091859608546274E-5</v>
      </c>
      <c r="S189">
        <f t="shared" si="191"/>
        <v>6.1845257103098158E-5</v>
      </c>
      <c r="T189">
        <f t="shared" si="191"/>
        <v>1.2842299161973676E-4</v>
      </c>
      <c r="U189">
        <f t="shared" si="191"/>
        <v>2.5845069875811156E-4</v>
      </c>
      <c r="V189">
        <f t="shared" si="191"/>
        <v>5.0186718983058487E-4</v>
      </c>
      <c r="W189">
        <f t="shared" si="191"/>
        <v>9.3802729084048139E-4</v>
      </c>
      <c r="X189">
        <f t="shared" si="191"/>
        <v>1.685302070230486E-3</v>
      </c>
      <c r="Y189">
        <f t="shared" si="191"/>
        <v>2.9084309032669487E-3</v>
      </c>
      <c r="Z189">
        <f t="shared" si="191"/>
        <v>4.8193080365783354E-3</v>
      </c>
      <c r="AA189">
        <f t="shared" si="191"/>
        <v>7.6658390134938456E-3</v>
      </c>
      <c r="AB189">
        <f t="shared" si="191"/>
        <v>1.1703897352179979E-2</v>
      </c>
      <c r="AC189">
        <f t="shared" si="191"/>
        <v>1.7150124418252928E-2</v>
      </c>
      <c r="AD189">
        <f t="shared" si="191"/>
        <v>2.4118658731839923E-2</v>
      </c>
      <c r="AE189">
        <f t="shared" si="191"/>
        <v>3.255206429243522E-2</v>
      </c>
      <c r="AF189">
        <f t="shared" si="191"/>
        <v>4.2163621276476985E-2</v>
      </c>
      <c r="AG189">
        <f t="shared" si="191"/>
        <v>5.2411677680994445E-2</v>
      </c>
      <c r="AH189">
        <f t="shared" si="191"/>
        <v>6.2524055205077061E-2</v>
      </c>
      <c r="AI189">
        <f t="shared" si="191"/>
        <v>7.1580384944334108E-2</v>
      </c>
      <c r="AJ189">
        <f t="shared" si="191"/>
        <v>7.8644450162316151E-2</v>
      </c>
      <c r="AK189">
        <f t="shared" si="191"/>
        <v>8.2921833534837508E-2</v>
      </c>
      <c r="AL189">
        <f t="shared" si="191"/>
        <v>8.3906622408026765E-2</v>
      </c>
      <c r="AM189">
        <f t="shared" si="191"/>
        <v>8.1479801676966931E-2</v>
      </c>
      <c r="AN189">
        <f t="shared" si="191"/>
        <v>7.5932898625585013E-2</v>
      </c>
      <c r="AO189">
        <f t="shared" si="191"/>
        <v>6.7910390859436454E-2</v>
      </c>
      <c r="AP189">
        <f t="shared" si="191"/>
        <v>5.8286594596622013E-2</v>
      </c>
      <c r="AQ189">
        <f t="shared" si="191"/>
        <v>4.8009514431145678E-2</v>
      </c>
      <c r="AR189">
        <f t="shared" si="191"/>
        <v>3.7950028782034011E-2</v>
      </c>
      <c r="AS189">
        <f t="shared" si="191"/>
        <v>2.8788766785652488E-2</v>
      </c>
      <c r="AT189">
        <f t="shared" si="191"/>
        <v>2.0958498386587469E-2</v>
      </c>
      <c r="AU189">
        <f t="shared" si="191"/>
        <v>1.4642775763372751E-2</v>
      </c>
      <c r="AV189">
        <f t="shared" si="191"/>
        <v>9.8177688678750905E-3</v>
      </c>
      <c r="AW189">
        <f t="shared" si="191"/>
        <v>6.3172539780815412E-3</v>
      </c>
      <c r="AX189">
        <f t="shared" si="191"/>
        <v>3.9009466640372694E-3</v>
      </c>
      <c r="AY189">
        <f t="shared" si="191"/>
        <v>2.3117338243523349E-3</v>
      </c>
      <c r="AZ189">
        <f t="shared" si="191"/>
        <v>1.3147154970850757E-3</v>
      </c>
      <c r="BA189">
        <f t="shared" si="191"/>
        <v>7.175495165673006E-4</v>
      </c>
    </row>
    <row r="190" spans="1:53" x14ac:dyDescent="0.25">
      <c r="A190" s="1">
        <v>41</v>
      </c>
      <c r="B190" s="2">
        <f t="shared" si="153"/>
        <v>4.6576081526575672</v>
      </c>
      <c r="C190">
        <f t="shared" ref="C190:BA190" si="192">C74*$G$1+C132*$G$11</f>
        <v>1.3694672632841627E-9</v>
      </c>
      <c r="D190">
        <f t="shared" si="192"/>
        <v>2.6549760225747518E-9</v>
      </c>
      <c r="E190">
        <f t="shared" si="192"/>
        <v>4.9935980384127646E-9</v>
      </c>
      <c r="F190">
        <f t="shared" si="192"/>
        <v>9.1227067481828645E-9</v>
      </c>
      <c r="G190">
        <f t="shared" si="192"/>
        <v>1.622537678404704E-8</v>
      </c>
      <c r="H190">
        <f t="shared" si="192"/>
        <v>2.8218843041486511E-8</v>
      </c>
      <c r="I190">
        <f t="shared" si="192"/>
        <v>4.8378318651335521E-8</v>
      </c>
      <c r="J190">
        <f t="shared" si="192"/>
        <v>8.288488717855586E-8</v>
      </c>
      <c r="K190">
        <f t="shared" si="192"/>
        <v>1.448627836430784E-7</v>
      </c>
      <c r="L190">
        <f t="shared" si="192"/>
        <v>2.6480025119237743E-7</v>
      </c>
      <c r="M190">
        <f t="shared" si="192"/>
        <v>5.1643229904796515E-7</v>
      </c>
      <c r="N190">
        <f t="shared" si="192"/>
        <v>1.0779224911313975E-6</v>
      </c>
      <c r="O190">
        <f t="shared" si="192"/>
        <v>2.3689017804478272E-6</v>
      </c>
      <c r="P190">
        <f t="shared" si="192"/>
        <v>5.3406444553762353E-6</v>
      </c>
      <c r="Q190">
        <f t="shared" si="192"/>
        <v>1.2055681213283809E-5</v>
      </c>
      <c r="R190">
        <f t="shared" si="192"/>
        <v>2.6776896148984032E-5</v>
      </c>
      <c r="S190">
        <f t="shared" si="192"/>
        <v>5.788504948192443E-5</v>
      </c>
      <c r="T190">
        <f t="shared" si="192"/>
        <v>1.2102411536160738E-4</v>
      </c>
      <c r="U190">
        <f t="shared" si="192"/>
        <v>2.4386608514809102E-4</v>
      </c>
      <c r="V190">
        <f t="shared" si="192"/>
        <v>4.7268225375497253E-4</v>
      </c>
      <c r="W190">
        <f t="shared" si="192"/>
        <v>8.8037998577137982E-4</v>
      </c>
      <c r="X190">
        <f t="shared" si="192"/>
        <v>1.5747276012533034E-3</v>
      </c>
      <c r="Y190">
        <f t="shared" si="192"/>
        <v>2.7042001604505594E-3</v>
      </c>
      <c r="Z190">
        <f t="shared" si="192"/>
        <v>4.4575385348877127E-3</v>
      </c>
      <c r="AA190">
        <f t="shared" si="192"/>
        <v>7.0523264296775343E-3</v>
      </c>
      <c r="AB190">
        <f t="shared" si="192"/>
        <v>1.0708466070373611E-2</v>
      </c>
      <c r="AC190">
        <f t="shared" si="192"/>
        <v>1.560509473559438E-2</v>
      </c>
      <c r="AD190">
        <f t="shared" si="192"/>
        <v>2.1824397762827887E-2</v>
      </c>
      <c r="AE190">
        <f t="shared" si="192"/>
        <v>2.9292098408082744E-2</v>
      </c>
      <c r="AF190">
        <f t="shared" si="192"/>
        <v>3.7730149764217936E-2</v>
      </c>
      <c r="AG190">
        <f t="shared" si="192"/>
        <v>4.6639611185517592E-2</v>
      </c>
      <c r="AH190">
        <f t="shared" si="192"/>
        <v>5.5328485992354536E-2</v>
      </c>
      <c r="AI190">
        <f t="shared" si="192"/>
        <v>6.2989709186618059E-2</v>
      </c>
      <c r="AJ190">
        <f t="shared" si="192"/>
        <v>6.8820378820981659E-2</v>
      </c>
      <c r="AK190">
        <f t="shared" si="192"/>
        <v>7.2159075968830991E-2</v>
      </c>
      <c r="AL190">
        <f t="shared" si="192"/>
        <v>7.2609124517703627E-2</v>
      </c>
      <c r="AM190">
        <f t="shared" si="192"/>
        <v>7.0116091402612268E-2</v>
      </c>
      <c r="AN190">
        <f t="shared" si="192"/>
        <v>6.4978609474002302E-2</v>
      </c>
      <c r="AO190">
        <f t="shared" si="192"/>
        <v>5.7789550550253088E-2</v>
      </c>
      <c r="AP190">
        <f t="shared" si="192"/>
        <v>4.9323557325669599E-2</v>
      </c>
      <c r="AQ190">
        <f t="shared" si="192"/>
        <v>4.0400396334700862E-2</v>
      </c>
      <c r="AR190">
        <f t="shared" si="192"/>
        <v>3.1757259105426761E-2</v>
      </c>
      <c r="AS190">
        <f t="shared" si="192"/>
        <v>2.3956675322227654E-2</v>
      </c>
      <c r="AT190">
        <f t="shared" si="192"/>
        <v>1.7343479303574834E-2</v>
      </c>
      <c r="AU190">
        <f t="shared" si="192"/>
        <v>1.2049583858230944E-2</v>
      </c>
      <c r="AV190">
        <f t="shared" si="192"/>
        <v>8.0340404113402025E-3</v>
      </c>
      <c r="AW190">
        <f t="shared" si="192"/>
        <v>5.1406982917082513E-3</v>
      </c>
      <c r="AX190">
        <f t="shared" si="192"/>
        <v>3.1567221641983561E-3</v>
      </c>
      <c r="AY190">
        <f t="shared" si="192"/>
        <v>1.8602732570529841E-3</v>
      </c>
      <c r="AZ190">
        <f t="shared" si="192"/>
        <v>1.0520666772210884E-3</v>
      </c>
      <c r="BA190">
        <f t="shared" si="192"/>
        <v>5.7099976098259756E-4</v>
      </c>
    </row>
    <row r="191" spans="1:53" x14ac:dyDescent="0.25">
      <c r="A191" s="1">
        <v>42</v>
      </c>
      <c r="B191" s="2">
        <f t="shared" si="153"/>
        <v>4.848794820582965</v>
      </c>
      <c r="C191">
        <f t="shared" ref="C191:BA191" si="193">C75*$G$1+C133*$G$11</f>
        <v>4.9945857380370918E-10</v>
      </c>
      <c r="D191">
        <f t="shared" si="193"/>
        <v>9.7558953228050832E-10</v>
      </c>
      <c r="E191">
        <f t="shared" si="193"/>
        <v>1.852205373566828E-9</v>
      </c>
      <c r="F191">
        <f t="shared" si="193"/>
        <v>3.4280744818554913E-9</v>
      </c>
      <c r="G191">
        <f t="shared" si="193"/>
        <v>6.2197275659510643E-9</v>
      </c>
      <c r="H191">
        <f t="shared" si="193"/>
        <v>1.1173472999896762E-8</v>
      </c>
      <c r="I191">
        <f t="shared" si="193"/>
        <v>2.0203009424494633E-8</v>
      </c>
      <c r="J191">
        <f t="shared" si="193"/>
        <v>3.7624918156425341E-8</v>
      </c>
      <c r="K191">
        <f t="shared" si="193"/>
        <v>7.3977706807316494E-8</v>
      </c>
      <c r="L191">
        <f t="shared" si="193"/>
        <v>1.5585834608244897E-7</v>
      </c>
      <c r="M191">
        <f t="shared" si="193"/>
        <v>3.5014071838902815E-7</v>
      </c>
      <c r="N191">
        <f t="shared" si="193"/>
        <v>8.2065975470768475E-7</v>
      </c>
      <c r="O191">
        <f t="shared" si="193"/>
        <v>1.9539692011890466E-6</v>
      </c>
      <c r="P191">
        <f t="shared" si="193"/>
        <v>4.6232218897451791E-6</v>
      </c>
      <c r="Q191">
        <f t="shared" si="193"/>
        <v>1.0710604300384646E-5</v>
      </c>
      <c r="R191">
        <f t="shared" si="193"/>
        <v>2.4080222579039103E-5</v>
      </c>
      <c r="S191">
        <f t="shared" si="193"/>
        <v>5.2274947214197812E-5</v>
      </c>
      <c r="T191">
        <f t="shared" si="193"/>
        <v>1.0927128037114773E-4</v>
      </c>
      <c r="U191">
        <f t="shared" si="193"/>
        <v>2.1960383335200588E-4</v>
      </c>
      <c r="V191">
        <f t="shared" si="193"/>
        <v>4.2397231087149532E-4</v>
      </c>
      <c r="W191">
        <f t="shared" si="193"/>
        <v>7.8596576068569555E-4</v>
      </c>
      <c r="X191">
        <f t="shared" si="193"/>
        <v>1.3987215844917234E-3</v>
      </c>
      <c r="Y191">
        <f t="shared" si="193"/>
        <v>2.3892484360130166E-3</v>
      </c>
      <c r="Z191">
        <f t="shared" si="193"/>
        <v>3.9170652076128912E-3</v>
      </c>
      <c r="AA191">
        <f t="shared" si="193"/>
        <v>6.1632709707045699E-3</v>
      </c>
      <c r="AB191">
        <f t="shared" si="193"/>
        <v>9.3068394758764432E-3</v>
      </c>
      <c r="AC191">
        <f t="shared" si="193"/>
        <v>1.3487383445259616E-2</v>
      </c>
      <c r="AD191">
        <f t="shared" si="193"/>
        <v>1.8757901899831921E-2</v>
      </c>
      <c r="AE191">
        <f t="shared" si="193"/>
        <v>2.5036285026501768E-2</v>
      </c>
      <c r="AF191">
        <f t="shared" si="193"/>
        <v>3.2068851818218592E-2</v>
      </c>
      <c r="AG191">
        <f t="shared" si="193"/>
        <v>3.942068229405752E-2</v>
      </c>
      <c r="AH191">
        <f t="shared" si="193"/>
        <v>4.6504143536265932E-2</v>
      </c>
      <c r="AI191">
        <f t="shared" si="193"/>
        <v>5.2648463637242411E-2</v>
      </c>
      <c r="AJ191">
        <f t="shared" si="193"/>
        <v>5.7201331889791845E-2</v>
      </c>
      <c r="AK191">
        <f t="shared" si="193"/>
        <v>5.9642092796018877E-2</v>
      </c>
      <c r="AL191">
        <f t="shared" si="193"/>
        <v>5.9679591810460064E-2</v>
      </c>
      <c r="AM191">
        <f t="shared" si="193"/>
        <v>5.7309288310632998E-2</v>
      </c>
      <c r="AN191">
        <f t="shared" si="193"/>
        <v>5.2814158608682042E-2</v>
      </c>
      <c r="AO191">
        <f t="shared" si="193"/>
        <v>4.6709140965432883E-2</v>
      </c>
      <c r="AP191">
        <f t="shared" si="193"/>
        <v>3.964419016329087E-2</v>
      </c>
      <c r="AQ191">
        <f t="shared" si="193"/>
        <v>3.2291139512666989E-2</v>
      </c>
      <c r="AR191">
        <f t="shared" si="193"/>
        <v>2.5241394082359755E-2</v>
      </c>
      <c r="AS191">
        <f t="shared" si="193"/>
        <v>1.893518040494006E-2</v>
      </c>
      <c r="AT191">
        <f t="shared" si="193"/>
        <v>1.3631752708632141E-2</v>
      </c>
      <c r="AU191">
        <f t="shared" si="193"/>
        <v>9.4180304807166999E-3</v>
      </c>
      <c r="AV191">
        <f t="shared" si="193"/>
        <v>6.2444562098990901E-3</v>
      </c>
      <c r="AW191">
        <f t="shared" si="193"/>
        <v>3.973336041927125E-3</v>
      </c>
      <c r="AX191">
        <f t="shared" si="193"/>
        <v>2.4262866483689381E-3</v>
      </c>
      <c r="AY191">
        <f t="shared" si="193"/>
        <v>1.4218541796714927E-3</v>
      </c>
      <c r="AZ191">
        <f t="shared" si="193"/>
        <v>7.9963933345311375E-4</v>
      </c>
      <c r="BA191">
        <f t="shared" si="193"/>
        <v>4.3157807815353075E-4</v>
      </c>
    </row>
    <row r="192" spans="1:53" x14ac:dyDescent="0.25">
      <c r="A192" s="1">
        <v>43</v>
      </c>
      <c r="B192" s="2">
        <f t="shared" si="153"/>
        <v>5.0399814885083627</v>
      </c>
      <c r="C192">
        <f t="shared" ref="C192:BA192" si="194">C76*$G$1+C134*$G$11</f>
        <v>1.7604931385227558E-10</v>
      </c>
      <c r="D192">
        <f t="shared" si="194"/>
        <v>3.474839658764339E-10</v>
      </c>
      <c r="E192">
        <f t="shared" si="194"/>
        <v>6.697403527610499E-10</v>
      </c>
      <c r="F192">
        <f t="shared" si="194"/>
        <v>1.2693835643405378E-9</v>
      </c>
      <c r="G192">
        <f t="shared" si="194"/>
        <v>2.3950309111994701E-9</v>
      </c>
      <c r="H192">
        <f t="shared" si="194"/>
        <v>4.5856508956086198E-9</v>
      </c>
      <c r="I192">
        <f t="shared" si="194"/>
        <v>9.1344078859083085E-9</v>
      </c>
      <c r="J192">
        <f t="shared" si="194"/>
        <v>1.9365843125396073E-8</v>
      </c>
      <c r="K192">
        <f t="shared" si="194"/>
        <v>4.4052417463132767E-8</v>
      </c>
      <c r="L192">
        <f t="shared" si="194"/>
        <v>1.0617706339198684E-7</v>
      </c>
      <c r="M192">
        <f t="shared" si="194"/>
        <v>2.6434883695410545E-7</v>
      </c>
      <c r="N192">
        <f t="shared" si="194"/>
        <v>6.625201993644587E-7</v>
      </c>
      <c r="O192">
        <f t="shared" si="194"/>
        <v>1.6393821583053854E-6</v>
      </c>
      <c r="P192">
        <f t="shared" si="194"/>
        <v>3.9560179683865857E-6</v>
      </c>
      <c r="Q192">
        <f t="shared" si="194"/>
        <v>9.242829519899199E-6</v>
      </c>
      <c r="R192">
        <f t="shared" si="194"/>
        <v>2.0824524752235503E-5</v>
      </c>
      <c r="S192">
        <f t="shared" si="194"/>
        <v>4.5145530173610812E-5</v>
      </c>
      <c r="T192">
        <f t="shared" si="194"/>
        <v>9.4060232739203714E-5</v>
      </c>
      <c r="U192">
        <f t="shared" si="194"/>
        <v>1.8822085821034156E-4</v>
      </c>
      <c r="V192">
        <f t="shared" si="194"/>
        <v>3.616150463291569E-4</v>
      </c>
      <c r="W192">
        <f t="shared" si="194"/>
        <v>6.668959917778876E-4</v>
      </c>
      <c r="X192">
        <f t="shared" si="194"/>
        <v>1.1804729761216582E-3</v>
      </c>
      <c r="Y192">
        <f t="shared" si="194"/>
        <v>2.005461703753382E-3</v>
      </c>
      <c r="Z192">
        <f t="shared" si="194"/>
        <v>3.2697796866955203E-3</v>
      </c>
      <c r="AA192">
        <f t="shared" si="194"/>
        <v>5.1163486704640278E-3</v>
      </c>
      <c r="AB192">
        <f t="shared" si="194"/>
        <v>7.6830660593916154E-3</v>
      </c>
      <c r="AC192">
        <f t="shared" si="194"/>
        <v>1.1072331087932446E-2</v>
      </c>
      <c r="AD192">
        <f t="shared" si="194"/>
        <v>1.5313414338637366E-2</v>
      </c>
      <c r="AE192">
        <f t="shared" si="194"/>
        <v>2.0325093103195906E-2</v>
      </c>
      <c r="AF192">
        <f t="shared" si="194"/>
        <v>2.5889284113248708E-2</v>
      </c>
      <c r="AG192">
        <f t="shared" si="194"/>
        <v>3.1647120235284848E-2</v>
      </c>
      <c r="AH192">
        <f t="shared" si="194"/>
        <v>3.712571369292645E-2</v>
      </c>
      <c r="AI192">
        <f t="shared" si="194"/>
        <v>4.179667775770611E-2</v>
      </c>
      <c r="AJ192">
        <f t="shared" si="194"/>
        <v>4.5158029003223452E-2</v>
      </c>
      <c r="AK192">
        <f t="shared" si="194"/>
        <v>4.6822479812873893E-2</v>
      </c>
      <c r="AL192">
        <f t="shared" si="194"/>
        <v>4.6590785556573526E-2</v>
      </c>
      <c r="AM192">
        <f t="shared" si="194"/>
        <v>4.4490965049208631E-2</v>
      </c>
      <c r="AN192">
        <f t="shared" si="194"/>
        <v>4.0772728828526644E-2</v>
      </c>
      <c r="AO192">
        <f t="shared" si="194"/>
        <v>3.5858645753788221E-2</v>
      </c>
      <c r="AP192">
        <f t="shared" si="194"/>
        <v>3.0265241005867312E-2</v>
      </c>
      <c r="AQ192">
        <f t="shared" si="194"/>
        <v>2.4514358555221879E-2</v>
      </c>
      <c r="AR192">
        <f t="shared" si="194"/>
        <v>1.9055619569889475E-2</v>
      </c>
      <c r="AS192">
        <f t="shared" si="194"/>
        <v>1.4215160091817426E-2</v>
      </c>
      <c r="AT192">
        <f t="shared" si="194"/>
        <v>1.0176690734928584E-2</v>
      </c>
      <c r="AU192">
        <f t="shared" si="194"/>
        <v>6.9917765155669545E-3</v>
      </c>
      <c r="AV192">
        <f t="shared" si="194"/>
        <v>4.6099332699001986E-3</v>
      </c>
      <c r="AW192">
        <f t="shared" si="194"/>
        <v>2.916942571220243E-3</v>
      </c>
      <c r="AX192">
        <f t="shared" si="194"/>
        <v>1.7712801579991264E-3</v>
      </c>
      <c r="AY192">
        <f t="shared" si="194"/>
        <v>1.0322212020024246E-3</v>
      </c>
      <c r="AZ192">
        <f t="shared" si="194"/>
        <v>5.7727723538333528E-4</v>
      </c>
      <c r="BA192">
        <f t="shared" si="194"/>
        <v>3.0982911512529262E-4</v>
      </c>
    </row>
    <row r="193" spans="1:53" x14ac:dyDescent="0.25">
      <c r="A193" s="1">
        <v>44</v>
      </c>
      <c r="B193" s="2">
        <f t="shared" si="153"/>
        <v>5.2311681564337595</v>
      </c>
      <c r="C193">
        <f t="shared" ref="C193:BA193" si="195">C77*$G$1+C135*$G$11</f>
        <v>6.0249090774563993E-11</v>
      </c>
      <c r="D193">
        <f t="shared" si="195"/>
        <v>1.2104119394469655E-10</v>
      </c>
      <c r="E193">
        <f t="shared" si="195"/>
        <v>2.4005094169536701E-10</v>
      </c>
      <c r="F193">
        <f t="shared" si="195"/>
        <v>4.7696717938556932E-10</v>
      </c>
      <c r="G193">
        <f t="shared" si="195"/>
        <v>9.7054921938654938E-10</v>
      </c>
      <c r="H193">
        <f t="shared" si="195"/>
        <v>2.075104859129809E-9</v>
      </c>
      <c r="I193">
        <f t="shared" si="195"/>
        <v>4.7505914516054685E-9</v>
      </c>
      <c r="J193">
        <f t="shared" si="195"/>
        <v>1.1647764555622949E-8</v>
      </c>
      <c r="K193">
        <f t="shared" si="195"/>
        <v>3.0007748160671965E-8</v>
      </c>
      <c r="L193">
        <f t="shared" si="195"/>
        <v>7.9057982952047648E-8</v>
      </c>
      <c r="M193">
        <f t="shared" si="195"/>
        <v>2.0796143135013014E-7</v>
      </c>
      <c r="N193">
        <f t="shared" si="195"/>
        <v>5.3717341601186104E-7</v>
      </c>
      <c r="O193">
        <f t="shared" si="195"/>
        <v>1.3487370159855766E-6</v>
      </c>
      <c r="P193">
        <f t="shared" si="195"/>
        <v>3.2726965165709308E-6</v>
      </c>
      <c r="Q193">
        <f t="shared" si="195"/>
        <v>7.6500405489898009E-6</v>
      </c>
      <c r="R193">
        <f t="shared" si="195"/>
        <v>1.7196819850864572E-5</v>
      </c>
      <c r="S193">
        <f t="shared" si="195"/>
        <v>3.7140793958733577E-5</v>
      </c>
      <c r="T193">
        <f t="shared" si="195"/>
        <v>7.7028530078941849E-5</v>
      </c>
      <c r="U193">
        <f t="shared" si="195"/>
        <v>1.5336587609741188E-4</v>
      </c>
      <c r="V193">
        <f t="shared" si="195"/>
        <v>2.9310031730328702E-4</v>
      </c>
      <c r="W193">
        <f t="shared" si="195"/>
        <v>5.3762266149308326E-4</v>
      </c>
      <c r="X193">
        <f t="shared" si="195"/>
        <v>9.4643783968133288E-4</v>
      </c>
      <c r="Y193">
        <f t="shared" si="195"/>
        <v>1.5989995752076201E-3</v>
      </c>
      <c r="Z193">
        <f t="shared" si="195"/>
        <v>2.5926254481232459E-3</v>
      </c>
      <c r="AA193">
        <f t="shared" si="195"/>
        <v>4.0342484433537988E-3</v>
      </c>
      <c r="AB193">
        <f t="shared" si="195"/>
        <v>6.0244133705846508E-3</v>
      </c>
      <c r="AC193">
        <f t="shared" si="195"/>
        <v>8.6336589261400039E-3</v>
      </c>
      <c r="AD193">
        <f t="shared" si="195"/>
        <v>1.1874142865349442E-2</v>
      </c>
      <c r="AE193">
        <f t="shared" si="195"/>
        <v>1.5672434723939938E-2</v>
      </c>
      <c r="AF193">
        <f t="shared" si="195"/>
        <v>1.985167806691257E-2</v>
      </c>
      <c r="AG193">
        <f t="shared" si="195"/>
        <v>2.41315030365357E-2</v>
      </c>
      <c r="AH193">
        <f t="shared" si="195"/>
        <v>2.8151258878630375E-2</v>
      </c>
      <c r="AI193">
        <f t="shared" si="195"/>
        <v>3.1516465563244819E-2</v>
      </c>
      <c r="AJ193">
        <f t="shared" si="195"/>
        <v>3.3861281970014777E-2</v>
      </c>
      <c r="AK193">
        <f t="shared" si="195"/>
        <v>3.491366692724901E-2</v>
      </c>
      <c r="AL193">
        <f t="shared" si="195"/>
        <v>3.4547267082976403E-2</v>
      </c>
      <c r="AM193">
        <f t="shared" si="195"/>
        <v>3.280636300998839E-2</v>
      </c>
      <c r="AN193">
        <f t="shared" si="195"/>
        <v>2.9897069741516631E-2</v>
      </c>
      <c r="AO193">
        <f t="shared" si="195"/>
        <v>2.6147207225649772E-2</v>
      </c>
      <c r="AP193">
        <f t="shared" si="195"/>
        <v>2.194563423481118E-2</v>
      </c>
      <c r="AQ193">
        <f t="shared" si="195"/>
        <v>1.7676533725344869E-2</v>
      </c>
      <c r="AR193">
        <f t="shared" si="195"/>
        <v>1.3663822652377276E-2</v>
      </c>
      <c r="AS193">
        <f t="shared" si="195"/>
        <v>1.0136160224005521E-2</v>
      </c>
      <c r="AT193">
        <f t="shared" si="195"/>
        <v>7.2160719833949498E-3</v>
      </c>
      <c r="AU193">
        <f t="shared" si="195"/>
        <v>4.9300847609129129E-3</v>
      </c>
      <c r="AV193">
        <f t="shared" si="195"/>
        <v>3.2324666595036325E-3</v>
      </c>
      <c r="AW193">
        <f t="shared" si="195"/>
        <v>2.0339480731766287E-3</v>
      </c>
      <c r="AX193">
        <f t="shared" si="195"/>
        <v>1.2282076749486738E-3</v>
      </c>
      <c r="AY193">
        <f t="shared" si="195"/>
        <v>7.117539587264219E-4</v>
      </c>
      <c r="AZ193">
        <f t="shared" si="195"/>
        <v>3.9583492908883307E-4</v>
      </c>
      <c r="BA193">
        <f t="shared" si="195"/>
        <v>2.1126350269149078E-4</v>
      </c>
    </row>
    <row r="194" spans="1:53" x14ac:dyDescent="0.25">
      <c r="A194" s="1">
        <v>45</v>
      </c>
      <c r="B194" s="2">
        <f t="shared" si="153"/>
        <v>5.4223548243591582</v>
      </c>
      <c r="C194">
        <f t="shared" ref="C194:BA194" si="196">C78*$G$1+C136*$G$11</f>
        <v>2.0245969868079935E-11</v>
      </c>
      <c r="D194">
        <f t="shared" si="196"/>
        <v>4.209765244541538E-11</v>
      </c>
      <c r="E194">
        <f t="shared" si="196"/>
        <v>8.8356873697583903E-11</v>
      </c>
      <c r="F194">
        <f t="shared" si="196"/>
        <v>1.9179571192113294E-10</v>
      </c>
      <c r="G194">
        <f t="shared" si="196"/>
        <v>4.4145063780504767E-10</v>
      </c>
      <c r="H194">
        <f t="shared" si="196"/>
        <v>1.0915613050233242E-9</v>
      </c>
      <c r="I194">
        <f t="shared" si="196"/>
        <v>2.8769669807853563E-9</v>
      </c>
      <c r="J194">
        <f t="shared" si="196"/>
        <v>7.8912009293078484E-9</v>
      </c>
      <c r="K194">
        <f t="shared" si="196"/>
        <v>2.1923052084281188E-8</v>
      </c>
      <c r="L194">
        <f t="shared" si="196"/>
        <v>6.0379794538277337E-8</v>
      </c>
      <c r="M194">
        <f t="shared" si="196"/>
        <v>1.6256243953912382E-7</v>
      </c>
      <c r="N194">
        <f t="shared" si="196"/>
        <v>4.2431693549038891E-7</v>
      </c>
      <c r="O194">
        <f t="shared" si="196"/>
        <v>1.0687827246404991E-6</v>
      </c>
      <c r="P194">
        <f t="shared" si="196"/>
        <v>2.5913050545663105E-6</v>
      </c>
      <c r="Q194">
        <f t="shared" si="196"/>
        <v>6.0392542817586802E-6</v>
      </c>
      <c r="R194">
        <f t="shared" si="196"/>
        <v>1.351955817179062E-5</v>
      </c>
      <c r="S194">
        <f t="shared" si="196"/>
        <v>2.9059078630876252E-5</v>
      </c>
      <c r="T194">
        <f t="shared" si="196"/>
        <v>5.9957877485334186E-5</v>
      </c>
      <c r="U194">
        <f t="shared" si="196"/>
        <v>1.1874175316055617E-4</v>
      </c>
      <c r="V194">
        <f t="shared" si="196"/>
        <v>2.2569632727147403E-4</v>
      </c>
      <c r="W194">
        <f t="shared" si="196"/>
        <v>4.1171166106491325E-4</v>
      </c>
      <c r="X194">
        <f t="shared" si="196"/>
        <v>7.2077607099942337E-4</v>
      </c>
      <c r="Y194">
        <f t="shared" si="196"/>
        <v>1.2109909026197627E-3</v>
      </c>
      <c r="Z194">
        <f t="shared" si="196"/>
        <v>1.9525931149923922E-3</v>
      </c>
      <c r="AA194">
        <f t="shared" si="196"/>
        <v>3.0214210975296053E-3</v>
      </c>
      <c r="AB194">
        <f t="shared" si="196"/>
        <v>4.4868173128329494E-3</v>
      </c>
      <c r="AC194">
        <f t="shared" si="196"/>
        <v>6.394293263285329E-3</v>
      </c>
      <c r="AD194">
        <f t="shared" si="196"/>
        <v>8.7452735110090662E-3</v>
      </c>
      <c r="AE194">
        <f t="shared" si="196"/>
        <v>1.147838308119445E-2</v>
      </c>
      <c r="AF194">
        <f t="shared" si="196"/>
        <v>1.4458204983815094E-2</v>
      </c>
      <c r="AG194">
        <f t="shared" si="196"/>
        <v>1.747729866337543E-2</v>
      </c>
      <c r="AH194">
        <f t="shared" si="196"/>
        <v>2.0274981067949512E-2</v>
      </c>
      <c r="AI194">
        <f t="shared" si="196"/>
        <v>2.257214320073132E-2</v>
      </c>
      <c r="AJ194">
        <f t="shared" si="196"/>
        <v>2.411633498442781E-2</v>
      </c>
      <c r="AK194">
        <f t="shared" si="196"/>
        <v>2.4727259036725617E-2</v>
      </c>
      <c r="AL194">
        <f t="shared" si="196"/>
        <v>2.4331383362048452E-2</v>
      </c>
      <c r="AM194">
        <f t="shared" si="196"/>
        <v>2.2976494635980692E-2</v>
      </c>
      <c r="AN194">
        <f t="shared" si="196"/>
        <v>2.0822213121470621E-2</v>
      </c>
      <c r="AO194">
        <f t="shared" si="196"/>
        <v>1.81090698963907E-2</v>
      </c>
      <c r="AP194">
        <f t="shared" si="196"/>
        <v>1.511442200715352E-2</v>
      </c>
      <c r="AQ194">
        <f t="shared" si="196"/>
        <v>1.2106346034715004E-2</v>
      </c>
      <c r="AR194">
        <f t="shared" si="196"/>
        <v>9.3059510151520357E-3</v>
      </c>
      <c r="AS194">
        <f t="shared" si="196"/>
        <v>6.8649057726683027E-3</v>
      </c>
      <c r="AT194">
        <f t="shared" si="196"/>
        <v>4.8599806257602655E-3</v>
      </c>
      <c r="AU194">
        <f t="shared" si="196"/>
        <v>3.3018750477591505E-3</v>
      </c>
      <c r="AV194">
        <f t="shared" si="196"/>
        <v>2.1528455290646597E-3</v>
      </c>
      <c r="AW194">
        <f t="shared" si="196"/>
        <v>1.3470733468529431E-3</v>
      </c>
      <c r="AX194">
        <f t="shared" si="196"/>
        <v>8.0890171418603236E-4</v>
      </c>
      <c r="AY194">
        <f t="shared" si="196"/>
        <v>4.6615077094073473E-4</v>
      </c>
      <c r="AZ194">
        <f t="shared" si="196"/>
        <v>2.5780016823716647E-4</v>
      </c>
      <c r="BA194">
        <f t="shared" si="196"/>
        <v>1.3682521038386932E-4</v>
      </c>
    </row>
    <row r="195" spans="1:53" x14ac:dyDescent="0.25">
      <c r="A195" s="1">
        <v>46</v>
      </c>
      <c r="B195" s="2">
        <f t="shared" si="153"/>
        <v>5.613541492284555</v>
      </c>
      <c r="C195">
        <f t="shared" ref="C195:BA195" si="197">C79*$G$1+C137*$G$11</f>
        <v>6.8528005099444763E-12</v>
      </c>
      <c r="D195">
        <f t="shared" si="197"/>
        <v>1.5244807938732241E-11</v>
      </c>
      <c r="E195">
        <f t="shared" si="197"/>
        <v>3.5430769636046236E-11</v>
      </c>
      <c r="F195">
        <f t="shared" si="197"/>
        <v>8.7974117402228644E-11</v>
      </c>
      <c r="G195">
        <f t="shared" si="197"/>
        <v>2.3472619035861078E-10</v>
      </c>
      <c r="H195">
        <f t="shared" si="197"/>
        <v>6.6277370282706688E-10</v>
      </c>
      <c r="I195">
        <f t="shared" si="197"/>
        <v>1.9279604005696443E-9</v>
      </c>
      <c r="J195">
        <f t="shared" si="197"/>
        <v>5.6306376586003908E-9</v>
      </c>
      <c r="K195">
        <f t="shared" si="197"/>
        <v>1.6203830761984106E-8</v>
      </c>
      <c r="L195">
        <f t="shared" si="197"/>
        <v>4.5416770466376144E-8</v>
      </c>
      <c r="M195">
        <f t="shared" si="197"/>
        <v>1.2315296801980602E-7</v>
      </c>
      <c r="N195">
        <f t="shared" si="197"/>
        <v>3.218834924610208E-7</v>
      </c>
      <c r="O195">
        <f t="shared" si="197"/>
        <v>8.0929644691345245E-7</v>
      </c>
      <c r="P195">
        <f t="shared" si="197"/>
        <v>1.9552509463157678E-6</v>
      </c>
      <c r="Q195">
        <f t="shared" si="197"/>
        <v>4.5365951943119284E-6</v>
      </c>
      <c r="R195">
        <f t="shared" si="197"/>
        <v>1.0105383704168252E-5</v>
      </c>
      <c r="S195">
        <f t="shared" si="197"/>
        <v>2.1607066926337456E-5</v>
      </c>
      <c r="T195">
        <f t="shared" si="197"/>
        <v>4.4342254325128262E-5</v>
      </c>
      <c r="U195">
        <f t="shared" si="197"/>
        <v>8.7336494555277826E-5</v>
      </c>
      <c r="V195">
        <f t="shared" si="197"/>
        <v>1.6508855416274337E-4</v>
      </c>
      <c r="W195">
        <f t="shared" si="197"/>
        <v>2.9948436657097782E-4</v>
      </c>
      <c r="X195">
        <f t="shared" si="197"/>
        <v>5.2139062206584062E-4</v>
      </c>
      <c r="Y195">
        <f t="shared" si="197"/>
        <v>8.7112760221363711E-4</v>
      </c>
      <c r="Z195">
        <f t="shared" si="197"/>
        <v>1.3967814664835711E-3</v>
      </c>
      <c r="AA195">
        <f t="shared" si="197"/>
        <v>2.1493269355637615E-3</v>
      </c>
      <c r="AB195">
        <f t="shared" si="197"/>
        <v>3.1739739269053269E-3</v>
      </c>
      <c r="AC195">
        <f t="shared" si="197"/>
        <v>4.4981175778033861E-3</v>
      </c>
      <c r="AD195">
        <f t="shared" si="197"/>
        <v>6.1176504470095636E-3</v>
      </c>
      <c r="AE195">
        <f t="shared" si="197"/>
        <v>7.9848142554499683E-3</v>
      </c>
      <c r="AF195">
        <f t="shared" si="197"/>
        <v>1.0001640026557474E-2</v>
      </c>
      <c r="AG195">
        <f t="shared" si="197"/>
        <v>1.2022750238425322E-2</v>
      </c>
      <c r="AH195">
        <f t="shared" si="197"/>
        <v>1.3869557669983592E-2</v>
      </c>
      <c r="AI195">
        <f t="shared" si="197"/>
        <v>1.5354920118312451E-2</v>
      </c>
      <c r="AJ195">
        <f t="shared" si="197"/>
        <v>1.6313932756923021E-2</v>
      </c>
      <c r="AK195">
        <f t="shared" si="197"/>
        <v>1.6633970391128287E-2</v>
      </c>
      <c r="AL195">
        <f t="shared" si="197"/>
        <v>1.627643642435838E-2</v>
      </c>
      <c r="AM195">
        <f t="shared" si="197"/>
        <v>1.5284416781379319E-2</v>
      </c>
      <c r="AN195">
        <f t="shared" si="197"/>
        <v>1.3774142097447973E-2</v>
      </c>
      <c r="AO195">
        <f t="shared" si="197"/>
        <v>1.1912595271253138E-2</v>
      </c>
      <c r="AP195">
        <f t="shared" si="197"/>
        <v>9.8872235785433301E-3</v>
      </c>
      <c r="AQ195">
        <f t="shared" si="197"/>
        <v>7.8753245838352921E-3</v>
      </c>
      <c r="AR195">
        <f t="shared" si="197"/>
        <v>6.0198921280659838E-3</v>
      </c>
      <c r="AS195">
        <f t="shared" si="197"/>
        <v>4.4160613152589255E-3</v>
      </c>
      <c r="AT195">
        <f t="shared" si="197"/>
        <v>3.108906202130347E-3</v>
      </c>
      <c r="AU195">
        <f t="shared" si="197"/>
        <v>2.1004206652947338E-3</v>
      </c>
      <c r="AV195">
        <f t="shared" si="197"/>
        <v>1.3618556733847121E-3</v>
      </c>
      <c r="AW195">
        <f t="shared" si="197"/>
        <v>8.4738744449308699E-4</v>
      </c>
      <c r="AX195">
        <f t="shared" si="197"/>
        <v>5.0601000501908344E-4</v>
      </c>
      <c r="AY195">
        <f t="shared" si="197"/>
        <v>2.8997617812165171E-4</v>
      </c>
      <c r="AZ195">
        <f t="shared" si="197"/>
        <v>1.5947465735740831E-4</v>
      </c>
      <c r="BA195">
        <f t="shared" si="197"/>
        <v>8.4168031933704349E-5</v>
      </c>
    </row>
    <row r="196" spans="1:53" x14ac:dyDescent="0.25">
      <c r="A196" s="1">
        <v>47</v>
      </c>
      <c r="B196" s="2">
        <f t="shared" si="153"/>
        <v>5.8047281602099536</v>
      </c>
      <c r="C196">
        <f t="shared" ref="C196:BA196" si="198">C80*$G$1+C138*$G$11</f>
        <v>2.4530041742613093E-12</v>
      </c>
      <c r="D196">
        <f t="shared" si="198"/>
        <v>6.1242614499117583E-12</v>
      </c>
      <c r="E196">
        <f t="shared" si="198"/>
        <v>1.6421289813675982E-11</v>
      </c>
      <c r="F196">
        <f t="shared" si="198"/>
        <v>4.7180437248481391E-11</v>
      </c>
      <c r="G196">
        <f t="shared" si="198"/>
        <v>1.4217936589791607E-10</v>
      </c>
      <c r="H196">
        <f t="shared" si="198"/>
        <v>4.3702269802308268E-10</v>
      </c>
      <c r="I196">
        <f t="shared" si="198"/>
        <v>1.3381608070353962E-9</v>
      </c>
      <c r="J196">
        <f t="shared" si="198"/>
        <v>4.0170974716457162E-9</v>
      </c>
      <c r="K196">
        <f t="shared" si="198"/>
        <v>1.1710065294666728E-8</v>
      </c>
      <c r="L196">
        <f t="shared" si="198"/>
        <v>3.2969350656715551E-8</v>
      </c>
      <c r="M196">
        <f t="shared" si="198"/>
        <v>8.9389987458319033E-8</v>
      </c>
      <c r="N196">
        <f t="shared" si="198"/>
        <v>2.3302697547484792E-7</v>
      </c>
      <c r="O196">
        <f t="shared" si="198"/>
        <v>5.8356855120704224E-7</v>
      </c>
      <c r="P196">
        <f t="shared" si="198"/>
        <v>1.4032854271674524E-6</v>
      </c>
      <c r="Q196">
        <f t="shared" si="198"/>
        <v>3.2393668226431186E-6</v>
      </c>
      <c r="R196">
        <f t="shared" si="198"/>
        <v>7.1775287242152369E-6</v>
      </c>
      <c r="S196">
        <f t="shared" si="198"/>
        <v>1.5263628411958866E-5</v>
      </c>
      <c r="T196">
        <f t="shared" si="198"/>
        <v>3.1152329271425388E-5</v>
      </c>
      <c r="U196">
        <f t="shared" si="198"/>
        <v>6.1018706067391963E-5</v>
      </c>
      <c r="V196">
        <f t="shared" si="198"/>
        <v>1.1470159258655716E-4</v>
      </c>
      <c r="W196">
        <f t="shared" si="198"/>
        <v>2.0692197312674671E-4</v>
      </c>
      <c r="X196">
        <f t="shared" si="198"/>
        <v>3.5823878163454884E-4</v>
      </c>
      <c r="Y196">
        <f t="shared" si="198"/>
        <v>5.9520465540040344E-4</v>
      </c>
      <c r="Z196">
        <f t="shared" si="198"/>
        <v>9.4904571299495835E-4</v>
      </c>
      <c r="AA196">
        <f t="shared" si="198"/>
        <v>1.4522275065824279E-3</v>
      </c>
      <c r="AB196">
        <f t="shared" si="198"/>
        <v>2.1325964136802472E-3</v>
      </c>
      <c r="AC196">
        <f t="shared" si="198"/>
        <v>3.0054467996410905E-3</v>
      </c>
      <c r="AD196">
        <f t="shared" si="198"/>
        <v>4.0647672922741237E-3</v>
      </c>
      <c r="AE196">
        <f t="shared" si="198"/>
        <v>5.2758027753781753E-3</v>
      </c>
      <c r="AF196">
        <f t="shared" si="198"/>
        <v>6.5715468439739473E-3</v>
      </c>
      <c r="AG196">
        <f t="shared" si="198"/>
        <v>7.8554819703097641E-3</v>
      </c>
      <c r="AH196">
        <f t="shared" si="198"/>
        <v>9.0116481001015301E-3</v>
      </c>
      <c r="AI196">
        <f t="shared" si="198"/>
        <v>9.9211442724525655E-3</v>
      </c>
      <c r="AJ196">
        <f t="shared" si="198"/>
        <v>1.048203133184448E-2</v>
      </c>
      <c r="AK196">
        <f t="shared" si="198"/>
        <v>1.0628091541334745E-2</v>
      </c>
      <c r="AL196">
        <f t="shared" si="198"/>
        <v>1.0341683962147602E-2</v>
      </c>
      <c r="AM196">
        <f t="shared" si="198"/>
        <v>9.6572478664155598E-3</v>
      </c>
      <c r="AN196">
        <f t="shared" si="198"/>
        <v>8.6544930827545438E-3</v>
      </c>
      <c r="AO196">
        <f t="shared" si="198"/>
        <v>7.4431373242089486E-3</v>
      </c>
      <c r="AP196">
        <f t="shared" si="198"/>
        <v>6.1432270600124649E-3</v>
      </c>
      <c r="AQ196">
        <f t="shared" si="198"/>
        <v>4.8659007072462531E-3</v>
      </c>
      <c r="AR196">
        <f t="shared" si="198"/>
        <v>3.698759182902623E-3</v>
      </c>
      <c r="AS196">
        <f t="shared" si="198"/>
        <v>2.6982054117359777E-3</v>
      </c>
      <c r="AT196">
        <f t="shared" si="198"/>
        <v>1.8889484250268584E-3</v>
      </c>
      <c r="AU196">
        <f t="shared" si="198"/>
        <v>1.2690868095715957E-3</v>
      </c>
      <c r="AV196">
        <f t="shared" si="198"/>
        <v>8.1825505835182114E-4</v>
      </c>
      <c r="AW196">
        <f t="shared" si="198"/>
        <v>5.0630498780239138E-4</v>
      </c>
      <c r="AX196">
        <f t="shared" si="198"/>
        <v>3.0065044528656979E-4</v>
      </c>
      <c r="AY196">
        <f t="shared" si="198"/>
        <v>1.7133166505801261E-4</v>
      </c>
      <c r="AZ196">
        <f t="shared" si="198"/>
        <v>9.3699992936389291E-5</v>
      </c>
      <c r="BA196">
        <f t="shared" si="198"/>
        <v>4.9177632736478962E-5</v>
      </c>
    </row>
    <row r="197" spans="1:53" x14ac:dyDescent="0.25">
      <c r="A197" s="1">
        <v>48</v>
      </c>
      <c r="B197" s="2">
        <f t="shared" si="153"/>
        <v>5.9959148281353505</v>
      </c>
      <c r="C197">
        <f t="shared" ref="C197:BA197" si="199">C81*$G$1+C139*$G$11</f>
        <v>9.9110897301914277E-13</v>
      </c>
      <c r="D197">
        <f t="shared" si="199"/>
        <v>2.8694071087808016E-12</v>
      </c>
      <c r="E197">
        <f t="shared" si="199"/>
        <v>8.8516626599068891E-12</v>
      </c>
      <c r="F197">
        <f t="shared" si="199"/>
        <v>2.8358088853360298E-11</v>
      </c>
      <c r="G197">
        <f t="shared" si="199"/>
        <v>9.1800098716382601E-11</v>
      </c>
      <c r="H197">
        <f t="shared" si="199"/>
        <v>2.9404753972020216E-10</v>
      </c>
      <c r="I197">
        <f t="shared" si="199"/>
        <v>9.195526094480036E-10</v>
      </c>
      <c r="J197">
        <f t="shared" si="199"/>
        <v>2.7857132221809636E-9</v>
      </c>
      <c r="K197">
        <f t="shared" si="199"/>
        <v>8.1399916019226467E-9</v>
      </c>
      <c r="L197">
        <f t="shared" si="199"/>
        <v>2.2888908676149362E-8</v>
      </c>
      <c r="M197">
        <f t="shared" si="199"/>
        <v>6.1857862816383192E-8</v>
      </c>
      <c r="N197">
        <f t="shared" si="199"/>
        <v>1.6056122408579385E-7</v>
      </c>
      <c r="O197">
        <f t="shared" si="199"/>
        <v>4.0013304067314337E-7</v>
      </c>
      <c r="P197">
        <f t="shared" si="199"/>
        <v>9.5719491668123271E-7</v>
      </c>
      <c r="Q197">
        <f t="shared" si="199"/>
        <v>2.1977670783825321E-6</v>
      </c>
      <c r="R197">
        <f t="shared" si="199"/>
        <v>4.8430882198649689E-6</v>
      </c>
      <c r="S197">
        <f t="shared" si="199"/>
        <v>1.0242551150739146E-5</v>
      </c>
      <c r="T197">
        <f t="shared" si="199"/>
        <v>2.07888695213017E-5</v>
      </c>
      <c r="U197">
        <f t="shared" si="199"/>
        <v>4.0493564356325019E-5</v>
      </c>
      <c r="V197">
        <f t="shared" si="199"/>
        <v>7.5695651427036567E-5</v>
      </c>
      <c r="W197">
        <f t="shared" si="199"/>
        <v>1.357951141107177E-4</v>
      </c>
      <c r="X197">
        <f t="shared" si="199"/>
        <v>2.337893770630065E-4</v>
      </c>
      <c r="Y197">
        <f t="shared" si="199"/>
        <v>3.8627118082961727E-4</v>
      </c>
      <c r="Z197">
        <f t="shared" si="199"/>
        <v>6.1247228629963588E-4</v>
      </c>
      <c r="AA197">
        <f t="shared" si="199"/>
        <v>9.3198086989453336E-4</v>
      </c>
      <c r="AB197">
        <f t="shared" si="199"/>
        <v>1.3609866532202691E-3</v>
      </c>
      <c r="AC197">
        <f t="shared" si="199"/>
        <v>1.907335011901778E-3</v>
      </c>
      <c r="AD197">
        <f t="shared" si="199"/>
        <v>2.5652299500744644E-3</v>
      </c>
      <c r="AE197">
        <f t="shared" si="199"/>
        <v>3.3109437609685497E-3</v>
      </c>
      <c r="AF197">
        <f t="shared" si="199"/>
        <v>4.1011293942379706E-3</v>
      </c>
      <c r="AG197">
        <f t="shared" si="199"/>
        <v>4.8750749367991713E-3</v>
      </c>
      <c r="AH197">
        <f t="shared" si="199"/>
        <v>5.5614145607643566E-3</v>
      </c>
      <c r="AI197">
        <f t="shared" si="199"/>
        <v>6.0885712038193669E-3</v>
      </c>
      <c r="AJ197">
        <f t="shared" si="199"/>
        <v>6.3969307967539331E-3</v>
      </c>
      <c r="AK197">
        <f t="shared" si="199"/>
        <v>6.4499159802852649E-3</v>
      </c>
      <c r="AL197">
        <f t="shared" si="199"/>
        <v>6.241121004853409E-3</v>
      </c>
      <c r="AM197">
        <f t="shared" si="199"/>
        <v>5.7955851162249947E-3</v>
      </c>
      <c r="AN197">
        <f t="shared" si="199"/>
        <v>5.1648547617482521E-3</v>
      </c>
      <c r="AO197">
        <f t="shared" si="199"/>
        <v>4.4171798021036997E-3</v>
      </c>
      <c r="AP197">
        <f t="shared" si="199"/>
        <v>3.6254187859599105E-3</v>
      </c>
      <c r="AQ197">
        <f t="shared" si="199"/>
        <v>2.8556003255598436E-3</v>
      </c>
      <c r="AR197">
        <f t="shared" si="199"/>
        <v>2.1585534320730237E-3</v>
      </c>
      <c r="AS197">
        <f t="shared" si="199"/>
        <v>1.5658650213322906E-3</v>
      </c>
      <c r="AT197">
        <f t="shared" si="199"/>
        <v>1.0901141596441051E-3</v>
      </c>
      <c r="AU197">
        <f t="shared" si="199"/>
        <v>7.2830916865271203E-4</v>
      </c>
      <c r="AV197">
        <f t="shared" si="199"/>
        <v>4.6696648580099869E-4</v>
      </c>
      <c r="AW197">
        <f t="shared" si="199"/>
        <v>2.8733053793354398E-4</v>
      </c>
      <c r="AX197">
        <f t="shared" si="199"/>
        <v>1.696695851695716E-4</v>
      </c>
      <c r="AY197">
        <f t="shared" si="199"/>
        <v>9.6150677475540923E-5</v>
      </c>
      <c r="AZ197">
        <f t="shared" si="199"/>
        <v>5.2290986810264954E-5</v>
      </c>
      <c r="BA197">
        <f t="shared" si="199"/>
        <v>2.7291503719598344E-5</v>
      </c>
    </row>
    <row r="198" spans="1:53" x14ac:dyDescent="0.25">
      <c r="A198" s="1">
        <v>49</v>
      </c>
      <c r="B198" s="2">
        <f t="shared" si="153"/>
        <v>6.1871014960607491</v>
      </c>
      <c r="C198">
        <f t="shared" ref="C198:BA198" si="200">C82*$G$1+C140*$G$11</f>
        <v>4.6891327276805894E-13</v>
      </c>
      <c r="D198">
        <f t="shared" si="200"/>
        <v>1.5476751082204637E-12</v>
      </c>
      <c r="E198">
        <f t="shared" si="200"/>
        <v>5.2513145667683679E-12</v>
      </c>
      <c r="F198">
        <f t="shared" si="200"/>
        <v>1.7851540886038874E-11</v>
      </c>
      <c r="G198">
        <f t="shared" si="200"/>
        <v>5.970519386445574E-11</v>
      </c>
      <c r="H198">
        <f t="shared" si="200"/>
        <v>1.9429067608157152E-10</v>
      </c>
      <c r="I198">
        <f t="shared" si="200"/>
        <v>6.1130599453372716E-10</v>
      </c>
      <c r="J198">
        <f t="shared" si="200"/>
        <v>1.8532600316204481E-9</v>
      </c>
      <c r="K198">
        <f t="shared" si="200"/>
        <v>5.4035621297094376E-9</v>
      </c>
      <c r="L198">
        <f t="shared" si="200"/>
        <v>1.5137658677568859E-8</v>
      </c>
      <c r="M198">
        <f t="shared" si="200"/>
        <v>4.0723067175479523E-8</v>
      </c>
      <c r="N198">
        <f t="shared" si="200"/>
        <v>1.0517209119891103E-7</v>
      </c>
      <c r="O198">
        <f t="shared" si="200"/>
        <v>2.6071792886512067E-7</v>
      </c>
      <c r="P198">
        <f t="shared" si="200"/>
        <v>6.2031811324165445E-7</v>
      </c>
      <c r="Q198">
        <f t="shared" si="200"/>
        <v>1.4164807383934321E-6</v>
      </c>
      <c r="R198">
        <f t="shared" si="200"/>
        <v>3.1041885598549683E-6</v>
      </c>
      <c r="S198">
        <f t="shared" si="200"/>
        <v>6.5286036087293267E-6</v>
      </c>
      <c r="T198">
        <f t="shared" si="200"/>
        <v>1.3177215622395694E-5</v>
      </c>
      <c r="U198">
        <f t="shared" si="200"/>
        <v>2.5524430892130151E-5</v>
      </c>
      <c r="V198">
        <f t="shared" si="200"/>
        <v>4.7447828951536985E-5</v>
      </c>
      <c r="W198">
        <f t="shared" si="200"/>
        <v>8.4645482974427298E-5</v>
      </c>
      <c r="X198">
        <f t="shared" si="200"/>
        <v>1.4491654901435631E-4</v>
      </c>
      <c r="Y198">
        <f t="shared" si="200"/>
        <v>2.380996136285167E-4</v>
      </c>
      <c r="Z198">
        <f t="shared" si="200"/>
        <v>3.7542722577819042E-4</v>
      </c>
      <c r="AA198">
        <f t="shared" si="200"/>
        <v>5.6809257975812938E-4</v>
      </c>
      <c r="AB198">
        <f t="shared" si="200"/>
        <v>8.2497102435822342E-4</v>
      </c>
      <c r="AC198">
        <f t="shared" si="200"/>
        <v>1.1496998284996314E-3</v>
      </c>
      <c r="AD198">
        <f t="shared" si="200"/>
        <v>1.5376461717931153E-3</v>
      </c>
      <c r="AE198">
        <f t="shared" si="200"/>
        <v>1.973579006160334E-3</v>
      </c>
      <c r="AF198">
        <f t="shared" si="200"/>
        <v>2.4309653848952309E-3</v>
      </c>
      <c r="AG198">
        <f t="shared" si="200"/>
        <v>2.8736189620224631E-3</v>
      </c>
      <c r="AH198">
        <f t="shared" si="200"/>
        <v>3.2599109084713706E-3</v>
      </c>
      <c r="AI198">
        <f t="shared" si="200"/>
        <v>3.5490198152612925E-3</v>
      </c>
      <c r="AJ198">
        <f t="shared" si="200"/>
        <v>3.7079789350057692E-3</v>
      </c>
      <c r="AK198">
        <f t="shared" si="200"/>
        <v>3.7178531576114704E-3</v>
      </c>
      <c r="AL198">
        <f t="shared" si="200"/>
        <v>3.5774481394676583E-3</v>
      </c>
      <c r="AM198">
        <f t="shared" si="200"/>
        <v>3.3035478379675942E-3</v>
      </c>
      <c r="AN198">
        <f t="shared" si="200"/>
        <v>2.9276151948774186E-3</v>
      </c>
      <c r="AO198">
        <f t="shared" si="200"/>
        <v>2.4898519486681106E-3</v>
      </c>
      <c r="AP198">
        <f t="shared" si="200"/>
        <v>2.0321660609523948E-3</v>
      </c>
      <c r="AQ198">
        <f t="shared" si="200"/>
        <v>1.5917358679893548E-3</v>
      </c>
      <c r="AR198">
        <f t="shared" si="200"/>
        <v>1.1964896607955999E-3</v>
      </c>
      <c r="AS198">
        <f t="shared" si="200"/>
        <v>8.6312368857575244E-4</v>
      </c>
      <c r="AT198">
        <f t="shared" si="200"/>
        <v>5.9753487870920624E-4</v>
      </c>
      <c r="AU198">
        <f t="shared" si="200"/>
        <v>3.9699005153820378E-4</v>
      </c>
      <c r="AV198">
        <f t="shared" si="200"/>
        <v>2.5311747247120948E-4</v>
      </c>
      <c r="AW198">
        <f t="shared" si="200"/>
        <v>1.548783685386338E-4</v>
      </c>
      <c r="AX198">
        <f t="shared" si="200"/>
        <v>9.094640649787172E-5</v>
      </c>
      <c r="AY198">
        <f t="shared" si="200"/>
        <v>5.1251485863634022E-5</v>
      </c>
      <c r="AZ198">
        <f t="shared" si="200"/>
        <v>2.7717465545648959E-5</v>
      </c>
      <c r="BA198">
        <f t="shared" si="200"/>
        <v>1.4385557934196762E-5</v>
      </c>
    </row>
    <row r="199" spans="1:53" x14ac:dyDescent="0.25">
      <c r="A199" s="1">
        <v>50</v>
      </c>
      <c r="B199" s="2">
        <f t="shared" si="153"/>
        <v>6.378288163986146</v>
      </c>
      <c r="C199">
        <f t="shared" ref="C199:BA200" si="201">C83*$G$1+C141*$G$11</f>
        <v>2.518003995533227E-13</v>
      </c>
      <c r="D199">
        <f t="shared" si="201"/>
        <v>9.0169679308068896E-13</v>
      </c>
      <c r="E199">
        <f t="shared" si="201"/>
        <v>3.2109600030114248E-12</v>
      </c>
      <c r="F199">
        <f t="shared" si="201"/>
        <v>1.1196228994297393E-11</v>
      </c>
      <c r="G199">
        <f t="shared" si="201"/>
        <v>3.7880271573176405E-11</v>
      </c>
      <c r="H199">
        <f t="shared" si="201"/>
        <v>1.2372467334010802E-10</v>
      </c>
      <c r="I199">
        <f t="shared" si="201"/>
        <v>3.8905332775208024E-10</v>
      </c>
      <c r="J199">
        <f t="shared" si="201"/>
        <v>1.1760691265475457E-9</v>
      </c>
      <c r="K199">
        <f t="shared" si="201"/>
        <v>3.4149617054593508E-9</v>
      </c>
      <c r="L199">
        <f t="shared" si="201"/>
        <v>9.5210480140235256E-9</v>
      </c>
      <c r="M199">
        <f t="shared" si="201"/>
        <v>2.5481830033644273E-8</v>
      </c>
      <c r="N199">
        <f t="shared" si="201"/>
        <v>6.5459032381622225E-8</v>
      </c>
      <c r="O199">
        <f t="shared" si="201"/>
        <v>1.6138833470687865E-7</v>
      </c>
      <c r="P199">
        <f t="shared" si="201"/>
        <v>3.8187565560639209E-7</v>
      </c>
      <c r="Q199">
        <f t="shared" si="201"/>
        <v>8.6718144988574466E-7</v>
      </c>
      <c r="R199">
        <f t="shared" si="201"/>
        <v>1.8898661161136301E-6</v>
      </c>
      <c r="S199">
        <f t="shared" si="201"/>
        <v>3.9525943502923662E-6</v>
      </c>
      <c r="T199">
        <f t="shared" si="201"/>
        <v>7.9334472177968816E-6</v>
      </c>
      <c r="U199">
        <f t="shared" si="201"/>
        <v>1.5281611376378842E-5</v>
      </c>
      <c r="V199">
        <f t="shared" si="201"/>
        <v>2.824901627011379E-5</v>
      </c>
      <c r="W199">
        <f t="shared" si="201"/>
        <v>5.011458528542775E-5</v>
      </c>
      <c r="X199">
        <f t="shared" si="201"/>
        <v>8.5320107106745066E-5</v>
      </c>
      <c r="Y199">
        <f t="shared" si="201"/>
        <v>1.3940070354919116E-4</v>
      </c>
      <c r="Z199">
        <f t="shared" si="201"/>
        <v>2.1857716631351484E-4</v>
      </c>
      <c r="AA199">
        <f t="shared" si="201"/>
        <v>3.2890526557173512E-4</v>
      </c>
      <c r="AB199">
        <f t="shared" si="201"/>
        <v>4.7496657094587256E-4</v>
      </c>
      <c r="AC199">
        <f t="shared" si="201"/>
        <v>6.5823569369576496E-4</v>
      </c>
      <c r="AD199">
        <f t="shared" si="201"/>
        <v>8.7543916069967795E-4</v>
      </c>
      <c r="AE199">
        <f t="shared" si="201"/>
        <v>1.1173691100605011E-3</v>
      </c>
      <c r="AF199">
        <f t="shared" si="201"/>
        <v>1.3686534554741793E-3</v>
      </c>
      <c r="AG199">
        <f t="shared" si="201"/>
        <v>1.6088534230889351E-3</v>
      </c>
      <c r="AH199">
        <f t="shared" si="201"/>
        <v>1.8149539121286959E-3</v>
      </c>
      <c r="AI199">
        <f t="shared" si="201"/>
        <v>1.9649018628318227E-3</v>
      </c>
      <c r="AJ199">
        <f t="shared" si="201"/>
        <v>2.0414665459902578E-3</v>
      </c>
      <c r="AK199">
        <f t="shared" si="201"/>
        <v>2.0354939221981232E-3</v>
      </c>
      <c r="AL199">
        <f t="shared" si="201"/>
        <v>1.9477064014653488E-3</v>
      </c>
      <c r="AM199">
        <f t="shared" si="201"/>
        <v>1.7885591700645552E-3</v>
      </c>
      <c r="AN199">
        <f t="shared" si="201"/>
        <v>1.576192554661835E-3</v>
      </c>
      <c r="AO199">
        <f t="shared" si="201"/>
        <v>1.3330344399624175E-3</v>
      </c>
      <c r="AP199">
        <f t="shared" si="201"/>
        <v>1.0819311048881502E-3</v>
      </c>
      <c r="AQ199">
        <f t="shared" si="201"/>
        <v>8.4272132156115471E-4</v>
      </c>
      <c r="AR199">
        <f t="shared" si="201"/>
        <v>6.2993319712792591E-4</v>
      </c>
      <c r="AS199">
        <f t="shared" si="201"/>
        <v>4.5188835360226044E-4</v>
      </c>
      <c r="AT199">
        <f t="shared" si="201"/>
        <v>3.1109565075162772E-4</v>
      </c>
      <c r="AU199">
        <f t="shared" si="201"/>
        <v>2.0553361888847577E-4</v>
      </c>
      <c r="AV199">
        <f t="shared" si="201"/>
        <v>1.3031605883424385E-4</v>
      </c>
      <c r="AW199">
        <f t="shared" si="201"/>
        <v>7.929378402933828E-5</v>
      </c>
      <c r="AX199">
        <f t="shared" si="201"/>
        <v>4.6302718368832862E-5</v>
      </c>
      <c r="AY199">
        <f t="shared" si="201"/>
        <v>2.5947765960220842E-5</v>
      </c>
      <c r="AZ199">
        <f t="shared" si="201"/>
        <v>1.3954670749273953E-5</v>
      </c>
      <c r="BA199">
        <f t="shared" si="201"/>
        <v>7.2022029399239258E-6</v>
      </c>
    </row>
    <row r="200" spans="1:53" x14ac:dyDescent="0.25">
      <c r="A200" s="1">
        <v>51</v>
      </c>
      <c r="B200" s="2">
        <f t="shared" si="153"/>
        <v>6.5694748319115428</v>
      </c>
      <c r="C200">
        <f>C84*$G$1+C142*$G$11</f>
        <v>1.4341017150105402E-13</v>
      </c>
      <c r="D200">
        <f t="shared" si="201"/>
        <v>5.3385009220025819E-13</v>
      </c>
      <c r="E200">
        <f t="shared" si="201"/>
        <v>1.9382969327786459E-12</v>
      </c>
      <c r="F200">
        <f t="shared" si="201"/>
        <v>6.8133540251640953E-12</v>
      </c>
      <c r="G200">
        <f t="shared" si="201"/>
        <v>2.3092699435585868E-11</v>
      </c>
      <c r="H200">
        <f t="shared" si="201"/>
        <v>7.5302988028712286E-11</v>
      </c>
      <c r="I200">
        <f t="shared" si="201"/>
        <v>2.3597533796180709E-10</v>
      </c>
      <c r="J200">
        <f t="shared" si="201"/>
        <v>7.1017784400616166E-10</v>
      </c>
      <c r="K200">
        <f t="shared" si="201"/>
        <v>2.0519575427631991E-9</v>
      </c>
      <c r="L200">
        <f t="shared" si="201"/>
        <v>5.691042730523986E-9</v>
      </c>
      <c r="M200">
        <f t="shared" si="201"/>
        <v>1.5149377841546129E-8</v>
      </c>
      <c r="N200">
        <f t="shared" si="201"/>
        <v>3.8703813465930891E-8</v>
      </c>
      <c r="O200">
        <f t="shared" si="201"/>
        <v>9.4897710970661112E-8</v>
      </c>
      <c r="P200">
        <f t="shared" si="201"/>
        <v>2.233024458046003E-7</v>
      </c>
      <c r="Q200">
        <f t="shared" si="201"/>
        <v>5.0426973056187378E-7</v>
      </c>
      <c r="R200">
        <f t="shared" si="201"/>
        <v>1.0928528123115591E-6</v>
      </c>
      <c r="S200">
        <f t="shared" si="201"/>
        <v>2.2729426150024767E-6</v>
      </c>
      <c r="T200">
        <f t="shared" si="201"/>
        <v>4.5367256894010316E-6</v>
      </c>
      <c r="U200">
        <f t="shared" si="201"/>
        <v>8.6900719684384293E-6</v>
      </c>
      <c r="V200">
        <f t="shared" si="201"/>
        <v>1.5974628387563697E-5</v>
      </c>
      <c r="W200">
        <f t="shared" si="201"/>
        <v>2.8181527976615576E-5</v>
      </c>
      <c r="X200">
        <f t="shared" si="201"/>
        <v>4.771166760475926E-5</v>
      </c>
      <c r="Y200">
        <f t="shared" si="201"/>
        <v>7.7519486348772413E-5</v>
      </c>
      <c r="Z200">
        <f t="shared" si="201"/>
        <v>1.208713499301171E-4</v>
      </c>
      <c r="AA200">
        <f t="shared" si="201"/>
        <v>1.8086812364832375E-4</v>
      </c>
      <c r="AB200">
        <f t="shared" si="201"/>
        <v>2.5973283463375229E-4</v>
      </c>
      <c r="AC200">
        <f t="shared" si="201"/>
        <v>3.5794626124027739E-4</v>
      </c>
      <c r="AD200">
        <f t="shared" si="201"/>
        <v>4.7340730357048599E-4</v>
      </c>
      <c r="AE200">
        <f t="shared" si="201"/>
        <v>6.0086681841591276E-4</v>
      </c>
      <c r="AF200">
        <f t="shared" si="201"/>
        <v>7.3189306513029347E-4</v>
      </c>
      <c r="AG200">
        <f t="shared" si="201"/>
        <v>8.5554564263227539E-4</v>
      </c>
      <c r="AH200">
        <f t="shared" si="201"/>
        <v>9.5976492766068568E-4</v>
      </c>
      <c r="AI200">
        <f t="shared" si="201"/>
        <v>1.033267351839615E-3</v>
      </c>
      <c r="AJ200">
        <f t="shared" si="201"/>
        <v>1.0675461977668922E-3</v>
      </c>
      <c r="AK200">
        <f t="shared" si="201"/>
        <v>1.0584900696751884E-3</v>
      </c>
      <c r="AL200">
        <f t="shared" si="201"/>
        <v>1.007193783942569E-3</v>
      </c>
      <c r="AM200">
        <f t="shared" si="201"/>
        <v>9.1974074064772907E-4</v>
      </c>
      <c r="AN200">
        <f t="shared" si="201"/>
        <v>8.0601653374303014E-4</v>
      </c>
      <c r="AO200">
        <f t="shared" si="201"/>
        <v>6.7787343588583931E-4</v>
      </c>
      <c r="AP200">
        <f t="shared" si="201"/>
        <v>5.4711600399844117E-4</v>
      </c>
      <c r="AQ200">
        <f t="shared" si="201"/>
        <v>4.2377600324627478E-4</v>
      </c>
      <c r="AR200">
        <f t="shared" si="201"/>
        <v>3.1500644620774854E-4</v>
      </c>
      <c r="AS200">
        <f t="shared" si="201"/>
        <v>2.2471323924821339E-4</v>
      </c>
      <c r="AT200">
        <f t="shared" si="201"/>
        <v>1.5383813903236681E-4</v>
      </c>
      <c r="AU200">
        <f t="shared" si="201"/>
        <v>1.0107075586611439E-4</v>
      </c>
      <c r="AV200">
        <f t="shared" si="201"/>
        <v>6.3725484798553126E-5</v>
      </c>
      <c r="AW200">
        <f t="shared" si="201"/>
        <v>3.8559102884560966E-5</v>
      </c>
      <c r="AX200">
        <f t="shared" si="201"/>
        <v>2.2390656763663826E-5</v>
      </c>
      <c r="AY200">
        <f t="shared" si="201"/>
        <v>1.2477652384767763E-5</v>
      </c>
      <c r="AZ200">
        <f t="shared" si="201"/>
        <v>6.6730606312428559E-6</v>
      </c>
      <c r="BA200">
        <f t="shared" si="201"/>
        <v>3.4248645302817235E-6</v>
      </c>
    </row>
  </sheetData>
  <mergeCells count="5">
    <mergeCell ref="C1:E1"/>
    <mergeCell ref="C11:E11"/>
    <mergeCell ref="A30:B30"/>
    <mergeCell ref="A88:B88"/>
    <mergeCell ref="A146:B146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7"/>
  <sheetViews>
    <sheetView workbookViewId="0">
      <selection activeCell="F17" sqref="F17"/>
    </sheetView>
  </sheetViews>
  <sheetFormatPr defaultRowHeight="15" x14ac:dyDescent="0.25"/>
  <cols>
    <col min="6" max="6" width="14.140625" customWidth="1"/>
    <col min="7" max="7" width="14.5703125" customWidth="1"/>
  </cols>
  <sheetData>
    <row r="1" spans="3:8" x14ac:dyDescent="0.25">
      <c r="D1" s="16" t="s">
        <v>12</v>
      </c>
      <c r="E1" s="17"/>
      <c r="F1" s="17"/>
      <c r="G1" s="9" t="s">
        <v>23</v>
      </c>
      <c r="H1" s="1">
        <v>0.6</v>
      </c>
    </row>
    <row r="3" spans="3:8" x14ac:dyDescent="0.25">
      <c r="C3" s="3"/>
      <c r="D3" s="5" t="s">
        <v>2</v>
      </c>
      <c r="E3" s="5" t="s">
        <v>7</v>
      </c>
      <c r="F3" s="5" t="s">
        <v>9</v>
      </c>
      <c r="G3" s="5" t="s">
        <v>8</v>
      </c>
    </row>
    <row r="4" spans="3:8" x14ac:dyDescent="0.25">
      <c r="C4" s="6" t="s">
        <v>0</v>
      </c>
      <c r="D4" s="4">
        <v>0</v>
      </c>
      <c r="E4" s="4">
        <v>2</v>
      </c>
      <c r="F4" s="4">
        <v>-0.5</v>
      </c>
      <c r="G4" s="4">
        <f>SQRT(E4)</f>
        <v>1.4142135623730951</v>
      </c>
    </row>
    <row r="5" spans="3:8" x14ac:dyDescent="0.25">
      <c r="C5" s="6" t="s">
        <v>1</v>
      </c>
      <c r="D5" s="4">
        <v>0</v>
      </c>
      <c r="E5" s="4">
        <v>1</v>
      </c>
      <c r="F5" s="4"/>
      <c r="G5" s="4">
        <f>SQRT(E5)</f>
        <v>1</v>
      </c>
    </row>
    <row r="7" spans="3:8" x14ac:dyDescent="0.25">
      <c r="D7" s="12" t="s">
        <v>6</v>
      </c>
      <c r="E7" s="13">
        <f>E4*E5-F4^2</f>
        <v>1.75</v>
      </c>
    </row>
    <row r="8" spans="3:8" x14ac:dyDescent="0.25">
      <c r="D8" s="12" t="s">
        <v>11</v>
      </c>
      <c r="E8" s="13">
        <f>F4/(G4*G5)</f>
        <v>-0.35355339059327373</v>
      </c>
      <c r="H8" s="12"/>
    </row>
    <row r="10" spans="3:8" x14ac:dyDescent="0.25">
      <c r="D10" s="16" t="s">
        <v>13</v>
      </c>
      <c r="E10" s="17"/>
      <c r="F10" s="17"/>
      <c r="G10" s="10" t="s">
        <v>24</v>
      </c>
      <c r="H10" s="1">
        <f>1-H1</f>
        <v>0.4</v>
      </c>
    </row>
    <row r="12" spans="3:8" x14ac:dyDescent="0.25">
      <c r="C12" s="3"/>
      <c r="D12" s="5" t="s">
        <v>2</v>
      </c>
      <c r="E12" s="5" t="s">
        <v>7</v>
      </c>
      <c r="F12" s="5" t="s">
        <v>9</v>
      </c>
      <c r="G12" s="5" t="s">
        <v>8</v>
      </c>
    </row>
    <row r="13" spans="3:8" x14ac:dyDescent="0.25">
      <c r="C13" s="6" t="s">
        <v>0</v>
      </c>
      <c r="D13" s="4">
        <v>4</v>
      </c>
      <c r="E13" s="4">
        <v>1</v>
      </c>
      <c r="F13" s="4">
        <v>0.6</v>
      </c>
      <c r="G13" s="4">
        <f>SQRT(E13)</f>
        <v>1</v>
      </c>
    </row>
    <row r="14" spans="3:8" x14ac:dyDescent="0.25">
      <c r="C14" s="6" t="s">
        <v>1</v>
      </c>
      <c r="D14" s="4">
        <v>4</v>
      </c>
      <c r="E14" s="4">
        <v>2</v>
      </c>
      <c r="F14" s="4"/>
      <c r="G14" s="4">
        <f>SQRT(E14)</f>
        <v>1.4142135623730951</v>
      </c>
    </row>
    <row r="17" spans="2:4" x14ac:dyDescent="0.25">
      <c r="B17" s="1" t="s">
        <v>42</v>
      </c>
      <c r="C17" s="1"/>
      <c r="D17" s="14">
        <v>0.05</v>
      </c>
    </row>
  </sheetData>
  <mergeCells count="2">
    <mergeCell ref="D1:F1"/>
    <mergeCell ref="D10:F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2"/>
  <sheetViews>
    <sheetView topLeftCell="A100" zoomScaleNormal="100" workbookViewId="0">
      <selection activeCell="G22" sqref="G22"/>
    </sheetView>
  </sheetViews>
  <sheetFormatPr defaultRowHeight="15" x14ac:dyDescent="0.25"/>
  <cols>
    <col min="1" max="1" width="10.85546875" customWidth="1"/>
    <col min="6" max="6" width="13.5703125" customWidth="1"/>
    <col min="7" max="7" width="16.5703125" customWidth="1"/>
    <col min="8" max="8" width="12.140625" customWidth="1"/>
    <col min="9" max="9" width="12.42578125" customWidth="1"/>
    <col min="10" max="10" width="10.85546875" customWidth="1"/>
    <col min="11" max="11" width="11.140625" customWidth="1"/>
    <col min="14" max="14" width="12.28515625" customWidth="1"/>
  </cols>
  <sheetData>
    <row r="1" spans="3:20" x14ac:dyDescent="0.25">
      <c r="D1" s="16" t="s">
        <v>12</v>
      </c>
      <c r="E1" s="17"/>
      <c r="F1" s="17"/>
      <c r="G1" s="9" t="s">
        <v>23</v>
      </c>
      <c r="H1" s="1">
        <f>'Simulated data with conf. reg.'!H1</f>
        <v>0.6</v>
      </c>
    </row>
    <row r="3" spans="3:20" x14ac:dyDescent="0.25">
      <c r="C3" s="3"/>
      <c r="D3" s="5" t="s">
        <v>2</v>
      </c>
      <c r="E3" s="5" t="s">
        <v>7</v>
      </c>
      <c r="F3" s="5" t="s">
        <v>9</v>
      </c>
      <c r="G3" s="5" t="s">
        <v>8</v>
      </c>
      <c r="J3" t="s">
        <v>3</v>
      </c>
      <c r="K3" t="s">
        <v>4</v>
      </c>
      <c r="L3" t="s">
        <v>5</v>
      </c>
      <c r="P3">
        <f>2*J4</f>
        <v>0.5714285714285714</v>
      </c>
      <c r="Q3">
        <f>2*L4</f>
        <v>0.2857142857142857</v>
      </c>
      <c r="S3" t="s">
        <v>36</v>
      </c>
      <c r="T3" t="s">
        <v>37</v>
      </c>
    </row>
    <row r="4" spans="3:20" x14ac:dyDescent="0.25">
      <c r="C4" s="6" t="s">
        <v>0</v>
      </c>
      <c r="D4" s="4">
        <f>'Simulated data with conf. reg.'!D4</f>
        <v>0</v>
      </c>
      <c r="E4" s="4">
        <f>'Simulated data with conf. reg.'!E4</f>
        <v>2</v>
      </c>
      <c r="F4" s="4">
        <f>'Simulated data with conf. reg.'!F4</f>
        <v>-0.5</v>
      </c>
      <c r="G4" s="4">
        <f>SQRT(E4)</f>
        <v>1.4142135623730951</v>
      </c>
      <c r="J4">
        <f>(E5/E7)/2</f>
        <v>0.2857142857142857</v>
      </c>
      <c r="K4">
        <f>(E4/E7)/2</f>
        <v>0.5714285714285714</v>
      </c>
      <c r="L4">
        <f>-(F4/E7)/2</f>
        <v>0.14285714285714285</v>
      </c>
      <c r="N4" t="s">
        <v>34</v>
      </c>
      <c r="P4">
        <f>2*L4</f>
        <v>0.2857142857142857</v>
      </c>
      <c r="Q4">
        <f>2*K4</f>
        <v>1.1428571428571428</v>
      </c>
      <c r="S4" t="s">
        <v>37</v>
      </c>
      <c r="T4" t="s">
        <v>38</v>
      </c>
    </row>
    <row r="5" spans="3:20" x14ac:dyDescent="0.25">
      <c r="C5" s="6" t="s">
        <v>1</v>
      </c>
      <c r="D5" s="4">
        <f>'Simulated data with conf. reg.'!D5</f>
        <v>0</v>
      </c>
      <c r="E5" s="4">
        <f>'Simulated data with conf. reg.'!E5</f>
        <v>1</v>
      </c>
      <c r="F5" s="4"/>
      <c r="G5" s="4">
        <f>SQRT(E5)</f>
        <v>1</v>
      </c>
    </row>
    <row r="7" spans="3:20" x14ac:dyDescent="0.25">
      <c r="D7" s="7" t="s">
        <v>6</v>
      </c>
      <c r="E7" s="8">
        <f>E4*E5-F4^2</f>
        <v>1.75</v>
      </c>
    </row>
    <row r="8" spans="3:20" x14ac:dyDescent="0.25">
      <c r="D8" s="7" t="s">
        <v>11</v>
      </c>
      <c r="E8" s="8">
        <f>F4/(G4*G5)</f>
        <v>-0.35355339059327373</v>
      </c>
      <c r="H8" s="7"/>
    </row>
    <row r="9" spans="3:20" x14ac:dyDescent="0.25">
      <c r="H9" s="7"/>
      <c r="N9">
        <f>1/(P13*Q14-Q13^2)</f>
        <v>1.6399999999999997</v>
      </c>
    </row>
    <row r="11" spans="3:20" x14ac:dyDescent="0.25">
      <c r="D11" s="16" t="s">
        <v>13</v>
      </c>
      <c r="E11" s="17"/>
      <c r="F11" s="17"/>
      <c r="G11" s="10" t="s">
        <v>24</v>
      </c>
      <c r="H11" s="1">
        <f>1-H1</f>
        <v>0.4</v>
      </c>
    </row>
    <row r="13" spans="3:20" x14ac:dyDescent="0.25">
      <c r="C13" s="3"/>
      <c r="D13" s="5" t="s">
        <v>2</v>
      </c>
      <c r="E13" s="5" t="s">
        <v>7</v>
      </c>
      <c r="F13" s="5" t="s">
        <v>9</v>
      </c>
      <c r="G13" s="5" t="s">
        <v>8</v>
      </c>
      <c r="J13" s="7" t="s">
        <v>14</v>
      </c>
      <c r="K13" s="7" t="s">
        <v>15</v>
      </c>
      <c r="L13" s="7" t="s">
        <v>16</v>
      </c>
      <c r="P13">
        <f>2*J14</f>
        <v>1.2195121951219512</v>
      </c>
      <c r="Q13">
        <f>2*L14</f>
        <v>-0.3658536585365853</v>
      </c>
      <c r="S13" t="s">
        <v>39</v>
      </c>
      <c r="T13" t="s">
        <v>40</v>
      </c>
    </row>
    <row r="14" spans="3:20" x14ac:dyDescent="0.25">
      <c r="C14" s="6" t="s">
        <v>0</v>
      </c>
      <c r="D14" s="4">
        <f>'Simulated data with conf. reg.'!D13</f>
        <v>4</v>
      </c>
      <c r="E14" s="4">
        <f>'Simulated data with conf. reg.'!E13</f>
        <v>1</v>
      </c>
      <c r="F14" s="4">
        <f>'Simulated data with conf. reg.'!F13</f>
        <v>0.6</v>
      </c>
      <c r="G14" s="4">
        <f>SQRT(E14)</f>
        <v>1</v>
      </c>
      <c r="J14" s="8">
        <f>(E15/E17)/2</f>
        <v>0.6097560975609756</v>
      </c>
      <c r="K14" s="8">
        <f>(E14/E17)/2</f>
        <v>0.3048780487804878</v>
      </c>
      <c r="L14" s="8">
        <f>-(F14/E17)/2</f>
        <v>-0.18292682926829265</v>
      </c>
      <c r="N14" t="s">
        <v>35</v>
      </c>
      <c r="P14">
        <f>2*L14</f>
        <v>-0.3658536585365853</v>
      </c>
      <c r="Q14">
        <f>2*K14</f>
        <v>0.6097560975609756</v>
      </c>
      <c r="S14" t="s">
        <v>40</v>
      </c>
      <c r="T14" t="s">
        <v>41</v>
      </c>
    </row>
    <row r="15" spans="3:20" x14ac:dyDescent="0.25">
      <c r="C15" s="6" t="s">
        <v>1</v>
      </c>
      <c r="D15" s="4">
        <f>'Simulated data with conf. reg.'!D14</f>
        <v>4</v>
      </c>
      <c r="E15" s="4">
        <f>'Simulated data with conf. reg.'!E14</f>
        <v>2</v>
      </c>
      <c r="F15" s="4"/>
      <c r="G15" s="4">
        <f>SQRT(E15)</f>
        <v>1.4142135623730951</v>
      </c>
    </row>
    <row r="16" spans="3:20" x14ac:dyDescent="0.25">
      <c r="J16" s="1" t="s">
        <v>42</v>
      </c>
      <c r="K16" s="1"/>
      <c r="L16" s="14">
        <f>'Simulated data with conf. reg.'!D17</f>
        <v>0.05</v>
      </c>
      <c r="M16" s="1"/>
      <c r="N16" s="1"/>
      <c r="O16" s="1"/>
      <c r="P16" s="1"/>
    </row>
    <row r="17" spans="1:20" x14ac:dyDescent="0.25">
      <c r="D17" s="7" t="s">
        <v>6</v>
      </c>
      <c r="E17" s="8">
        <f>E14*E15-F14^2</f>
        <v>1.6400000000000001</v>
      </c>
      <c r="N17" t="s">
        <v>43</v>
      </c>
      <c r="O17">
        <f>(P3*Q4-P4^2)/Q4</f>
        <v>0.5</v>
      </c>
      <c r="Q17" t="s">
        <v>46</v>
      </c>
      <c r="R17">
        <f>(P13*Q14-P14^2)/Q14</f>
        <v>1.0000000000000002</v>
      </c>
    </row>
    <row r="18" spans="1:20" x14ac:dyDescent="0.25">
      <c r="D18" s="7" t="s">
        <v>11</v>
      </c>
      <c r="E18" s="8">
        <f>F14/(G14*G15)</f>
        <v>0.42426406871192845</v>
      </c>
      <c r="N18" t="s">
        <v>44</v>
      </c>
      <c r="O18">
        <f>Q4</f>
        <v>1.1428571428571428</v>
      </c>
      <c r="Q18" t="s">
        <v>47</v>
      </c>
      <c r="R18">
        <f>Q14</f>
        <v>0.6097560975609756</v>
      </c>
    </row>
    <row r="19" spans="1:20" x14ac:dyDescent="0.25">
      <c r="N19" t="s">
        <v>45</v>
      </c>
      <c r="O19">
        <f>_xlfn.CHISQ.INV.RT(L16,2)</f>
        <v>5.9914645471079817</v>
      </c>
      <c r="Q19" t="s">
        <v>45</v>
      </c>
      <c r="R19">
        <f>_xlfn.CHISQ.INV.RT(L16,2)</f>
        <v>5.9914645471079817</v>
      </c>
    </row>
    <row r="20" spans="1:20" s="1" customFormat="1" x14ac:dyDescent="0.25">
      <c r="A20" s="1" t="s">
        <v>10</v>
      </c>
      <c r="B20" s="1" t="s">
        <v>31</v>
      </c>
      <c r="C20" s="1" t="s">
        <v>0</v>
      </c>
      <c r="D20" s="1" t="s">
        <v>1</v>
      </c>
      <c r="E20" s="1" t="s">
        <v>30</v>
      </c>
      <c r="F20" s="1" t="s">
        <v>32</v>
      </c>
      <c r="G20" s="1" t="s">
        <v>33</v>
      </c>
      <c r="H20" s="11" t="s">
        <v>58</v>
      </c>
      <c r="I20" s="11" t="s">
        <v>59</v>
      </c>
      <c r="J20" s="11" t="s">
        <v>60</v>
      </c>
      <c r="K20" s="11" t="s">
        <v>61</v>
      </c>
    </row>
    <row r="21" spans="1:20" x14ac:dyDescent="0.25">
      <c r="A21">
        <v>1</v>
      </c>
      <c r="B21">
        <f t="shared" ref="B21:B84" ca="1" si="0">RAND()</f>
        <v>0.19104939177658731</v>
      </c>
      <c r="C21">
        <f t="shared" ref="C21:C84" ca="1" si="1">IF(E21=1,_xlfn.NORM.INV(RAND(),$D$4,$G$4),_xlfn.NORM.INV(RAND(),$D$14,$G$14))</f>
        <v>-2.1458090045514067</v>
      </c>
      <c r="D21">
        <f t="shared" ref="D21:D84" ca="1" si="2">IF(E21=1,_xlfn.NORM.INV(RAND(),$D$5-$L$4/$K$4*(C21-$D$4),SQRT(1/(2*$K$4))),_xlfn.NORM.INV(RAND(),$D$15-$L$14/$K$14*(C21-$D$14),SQRT(1/(2*$K$14))))</f>
        <v>0.97043816678320116</v>
      </c>
      <c r="E21">
        <f t="shared" ref="E21:E84" ca="1" si="3">IF(B21&lt;$H$1,1,2)</f>
        <v>1</v>
      </c>
      <c r="F21">
        <f ca="1">IF($E21=1,D21,NA())</f>
        <v>0.97043816678320116</v>
      </c>
      <c r="G21" t="e">
        <f ca="1">IF($E21=2,D21,NA())</f>
        <v>#N/A</v>
      </c>
      <c r="H21" t="e">
        <f>NA()</f>
        <v>#N/A</v>
      </c>
      <c r="I21" t="e">
        <f>NA()</f>
        <v>#N/A</v>
      </c>
      <c r="J21" t="e">
        <f>NA()</f>
        <v>#N/A</v>
      </c>
      <c r="K21" t="e">
        <f>NA()</f>
        <v>#N/A</v>
      </c>
      <c r="N21" t="s">
        <v>48</v>
      </c>
      <c r="O21">
        <f>2*SQRT(O19/O17)</f>
        <v>6.9232735304091415</v>
      </c>
      <c r="Q21" t="s">
        <v>49</v>
      </c>
      <c r="R21">
        <f>2*SQRT(R19/R17)</f>
        <v>4.8954936613616322</v>
      </c>
    </row>
    <row r="22" spans="1:20" x14ac:dyDescent="0.25">
      <c r="A22">
        <v>2</v>
      </c>
      <c r="B22">
        <f t="shared" ca="1" si="0"/>
        <v>0.89121215762148986</v>
      </c>
      <c r="C22">
        <f t="shared" ca="1" si="1"/>
        <v>3.2321360045660699</v>
      </c>
      <c r="D22">
        <f t="shared" ca="1" si="2"/>
        <v>3.2142563400921889</v>
      </c>
      <c r="E22">
        <f t="shared" ca="1" si="3"/>
        <v>2</v>
      </c>
      <c r="F22" t="e">
        <f t="shared" ref="F22:F85" ca="1" si="4">IF($E22=1,D22,NA())</f>
        <v>#N/A</v>
      </c>
      <c r="G22">
        <f t="shared" ref="G22:G85" ca="1" si="5">IF($E22=2,D22,NA())</f>
        <v>3.2142563400921889</v>
      </c>
      <c r="H22" t="e">
        <f>NA()</f>
        <v>#N/A</v>
      </c>
      <c r="I22" t="e">
        <f>NA()</f>
        <v>#N/A</v>
      </c>
      <c r="J22" t="e">
        <f>NA()</f>
        <v>#N/A</v>
      </c>
      <c r="K22" t="e">
        <f>NA()</f>
        <v>#N/A</v>
      </c>
    </row>
    <row r="23" spans="1:20" x14ac:dyDescent="0.25">
      <c r="A23">
        <v>3</v>
      </c>
      <c r="B23">
        <f t="shared" ca="1" si="0"/>
        <v>0.83943672403715397</v>
      </c>
      <c r="C23">
        <f t="shared" ca="1" si="1"/>
        <v>4.9401718757169304</v>
      </c>
      <c r="D23">
        <f t="shared" ca="1" si="2"/>
        <v>3.8684482744273176</v>
      </c>
      <c r="E23">
        <f t="shared" ca="1" si="3"/>
        <v>2</v>
      </c>
      <c r="F23" t="e">
        <f t="shared" ca="1" si="4"/>
        <v>#N/A</v>
      </c>
      <c r="G23">
        <f t="shared" ca="1" si="5"/>
        <v>3.8684482744273176</v>
      </c>
      <c r="H23" t="e">
        <f>NA()</f>
        <v>#N/A</v>
      </c>
      <c r="I23" t="e">
        <f>NA()</f>
        <v>#N/A</v>
      </c>
      <c r="J23" t="e">
        <f>NA()</f>
        <v>#N/A</v>
      </c>
      <c r="K23" t="e">
        <f>NA()</f>
        <v>#N/A</v>
      </c>
      <c r="N23" t="s">
        <v>50</v>
      </c>
      <c r="R23" t="s">
        <v>54</v>
      </c>
    </row>
    <row r="24" spans="1:20" x14ac:dyDescent="0.25">
      <c r="A24">
        <v>4</v>
      </c>
      <c r="B24">
        <f t="shared" ca="1" si="0"/>
        <v>0.70004635487557798</v>
      </c>
      <c r="C24">
        <f t="shared" ca="1" si="1"/>
        <v>3.8101809249088845</v>
      </c>
      <c r="D24">
        <f t="shared" ca="1" si="2"/>
        <v>1.2921021824567904</v>
      </c>
      <c r="E24">
        <f t="shared" ca="1" si="3"/>
        <v>2</v>
      </c>
      <c r="F24" t="e">
        <f t="shared" ca="1" si="4"/>
        <v>#N/A</v>
      </c>
      <c r="G24">
        <f t="shared" ca="1" si="5"/>
        <v>1.2921021824567904</v>
      </c>
      <c r="H24" t="e">
        <f>NA()</f>
        <v>#N/A</v>
      </c>
      <c r="I24" t="e">
        <f>NA()</f>
        <v>#N/A</v>
      </c>
      <c r="J24" t="e">
        <f>NA()</f>
        <v>#N/A</v>
      </c>
      <c r="K24" t="e">
        <f>NA()</f>
        <v>#N/A</v>
      </c>
      <c r="M24" t="s">
        <v>10</v>
      </c>
      <c r="N24" t="s">
        <v>51</v>
      </c>
      <c r="O24" t="s">
        <v>52</v>
      </c>
      <c r="P24" s="15" t="s">
        <v>53</v>
      </c>
      <c r="R24" t="s">
        <v>55</v>
      </c>
      <c r="S24" t="s">
        <v>56</v>
      </c>
      <c r="T24" s="15" t="s">
        <v>57</v>
      </c>
    </row>
    <row r="25" spans="1:20" x14ac:dyDescent="0.25">
      <c r="A25">
        <v>5</v>
      </c>
      <c r="B25">
        <f t="shared" ca="1" si="0"/>
        <v>0.14322943432550317</v>
      </c>
      <c r="C25">
        <f t="shared" ca="1" si="1"/>
        <v>-4.9145426282480267E-2</v>
      </c>
      <c r="D25">
        <f t="shared" ca="1" si="2"/>
        <v>0.13385795617979687</v>
      </c>
      <c r="E25">
        <f t="shared" ca="1" si="3"/>
        <v>1</v>
      </c>
      <c r="F25">
        <f t="shared" ca="1" si="4"/>
        <v>0.13385795617979687</v>
      </c>
      <c r="G25" t="e">
        <f t="shared" ca="1" si="5"/>
        <v>#N/A</v>
      </c>
      <c r="H25" t="e">
        <f>NA()</f>
        <v>#N/A</v>
      </c>
      <c r="I25" t="e">
        <f>NA()</f>
        <v>#N/A</v>
      </c>
      <c r="J25" t="e">
        <f>NA()</f>
        <v>#N/A</v>
      </c>
      <c r="K25" t="e">
        <f>NA()</f>
        <v>#N/A</v>
      </c>
      <c r="M25">
        <v>0</v>
      </c>
      <c r="N25">
        <f>-O21/2</f>
        <v>-3.4616367652045708</v>
      </c>
      <c r="O25">
        <f>SQRT(ABS($O$19-$O$17*$N25^2)/$O$18)-$Q$3/$Q$4*$N25</f>
        <v>0.86540921917866265</v>
      </c>
      <c r="P25">
        <f>-SQRT(ABS($O$19-$O$17*$N25^2)/$O$18)-$Q$3/$Q$4*$N25</f>
        <v>0.86540916342362273</v>
      </c>
      <c r="R25">
        <f>-R21/2</f>
        <v>-2.4477468306808161</v>
      </c>
      <c r="S25">
        <f>SQRT(ABS($R$19-$R$17*$R25^2)/$R$18)-$Q$13/$Q$14*$R25</f>
        <v>-1.4686480602428948</v>
      </c>
      <c r="T25">
        <f>-SQRT(ABS($R$19-$R$17*$R25^2)/$R$18)-$Q$13/$Q$14*$R25</f>
        <v>-1.4686481365740838</v>
      </c>
    </row>
    <row r="26" spans="1:20" x14ac:dyDescent="0.25">
      <c r="A26">
        <v>6</v>
      </c>
      <c r="B26">
        <f t="shared" ca="1" si="0"/>
        <v>4.9881561040441613E-2</v>
      </c>
      <c r="C26">
        <f t="shared" ca="1" si="1"/>
        <v>-2.5228432546258131E-2</v>
      </c>
      <c r="D26">
        <f t="shared" ca="1" si="2"/>
        <v>1.5939339609609653</v>
      </c>
      <c r="E26">
        <f t="shared" ca="1" si="3"/>
        <v>1</v>
      </c>
      <c r="F26">
        <f t="shared" ca="1" si="4"/>
        <v>1.5939339609609653</v>
      </c>
      <c r="G26" t="e">
        <f t="shared" ca="1" si="5"/>
        <v>#N/A</v>
      </c>
      <c r="H26" t="e">
        <f>NA()</f>
        <v>#N/A</v>
      </c>
      <c r="I26" t="e">
        <f>NA()</f>
        <v>#N/A</v>
      </c>
      <c r="J26" t="e">
        <f>NA()</f>
        <v>#N/A</v>
      </c>
      <c r="K26" t="e">
        <f>NA()</f>
        <v>#N/A</v>
      </c>
      <c r="M26">
        <v>1</v>
      </c>
      <c r="N26">
        <f>$N$25+M26*$O$21/50</f>
        <v>-3.323171294596388</v>
      </c>
      <c r="O26">
        <f t="shared" ref="O26:O75" si="6">SQRT(ABS($O$19-$O$17*$N26^2)/$O$18)-$Q$3/$Q$4*$N26</f>
        <v>1.4718969243469529</v>
      </c>
      <c r="P26">
        <f t="shared" ref="P26:P75" si="7">-SQRT(ABS($O$19-$O$17*$N26^2)/$O$18)-$Q$3/$Q$4*$N26</f>
        <v>0.18968872295124106</v>
      </c>
      <c r="R26">
        <f>$R$25+M26*$R$21/50</f>
        <v>-2.3498369574535833</v>
      </c>
      <c r="S26">
        <f t="shared" ref="S26:S75" si="8">SQRT(ABS($R$19-$R$17*$R26^2)/$R$18)-$Q$13/$Q$14*$R26</f>
        <v>-0.53220145918876871</v>
      </c>
      <c r="T26">
        <f t="shared" ref="T26:T75" si="9">-SQRT(ABS($R$19-$R$17*$R26^2)/$R$18)-$Q$13/$Q$14*$R26</f>
        <v>-2.2876028897555303</v>
      </c>
    </row>
    <row r="27" spans="1:20" x14ac:dyDescent="0.25">
      <c r="A27">
        <v>7</v>
      </c>
      <c r="B27">
        <f t="shared" ca="1" si="0"/>
        <v>0.43046025933882848</v>
      </c>
      <c r="C27">
        <f t="shared" ca="1" si="1"/>
        <v>-0.29220078622149359</v>
      </c>
      <c r="D27">
        <f t="shared" ca="1" si="2"/>
        <v>-0.28618309883499782</v>
      </c>
      <c r="E27">
        <f t="shared" ca="1" si="3"/>
        <v>1</v>
      </c>
      <c r="F27">
        <f t="shared" ca="1" si="4"/>
        <v>-0.28618309883499782</v>
      </c>
      <c r="G27" t="e">
        <f t="shared" ca="1" si="5"/>
        <v>#N/A</v>
      </c>
      <c r="H27" t="e">
        <f>NA()</f>
        <v>#N/A</v>
      </c>
      <c r="I27" t="e">
        <f>NA()</f>
        <v>#N/A</v>
      </c>
      <c r="J27" t="e">
        <f>NA()</f>
        <v>#N/A</v>
      </c>
      <c r="K27" t="e">
        <f>NA()</f>
        <v>#N/A</v>
      </c>
      <c r="M27">
        <v>2</v>
      </c>
      <c r="N27">
        <f t="shared" ref="N27:N75" si="10">$N$25+M27*$O$21/50</f>
        <v>-3.1847058239882049</v>
      </c>
      <c r="O27">
        <f t="shared" si="6"/>
        <v>1.6935352666916987</v>
      </c>
      <c r="P27">
        <f t="shared" si="7"/>
        <v>-0.1011823546975964</v>
      </c>
      <c r="R27">
        <f t="shared" ref="R27:R75" si="11">$R$25+M27*$R$21/50</f>
        <v>-2.251927084226351</v>
      </c>
      <c r="S27">
        <f t="shared" si="8"/>
        <v>-0.12263116521004114</v>
      </c>
      <c r="T27">
        <f t="shared" si="9"/>
        <v>-2.5796813358615793</v>
      </c>
    </row>
    <row r="28" spans="1:20" x14ac:dyDescent="0.25">
      <c r="A28">
        <v>8</v>
      </c>
      <c r="B28">
        <f t="shared" ca="1" si="0"/>
        <v>0.40180185151735126</v>
      </c>
      <c r="C28">
        <f t="shared" ca="1" si="1"/>
        <v>0.49613641368855654</v>
      </c>
      <c r="D28">
        <f t="shared" ca="1" si="2"/>
        <v>-0.76989465834153181</v>
      </c>
      <c r="E28">
        <f t="shared" ca="1" si="3"/>
        <v>1</v>
      </c>
      <c r="F28">
        <f t="shared" ca="1" si="4"/>
        <v>-0.76989465834153181</v>
      </c>
      <c r="G28" t="e">
        <f t="shared" ca="1" si="5"/>
        <v>#N/A</v>
      </c>
      <c r="H28" t="e">
        <f>NA()</f>
        <v>#N/A</v>
      </c>
      <c r="I28" t="e">
        <f>NA()</f>
        <v>#N/A</v>
      </c>
      <c r="J28" t="e">
        <f>NA()</f>
        <v>#N/A</v>
      </c>
      <c r="K28" t="e">
        <f>NA()</f>
        <v>#N/A</v>
      </c>
      <c r="M28">
        <v>3</v>
      </c>
      <c r="N28">
        <f t="shared" si="10"/>
        <v>-3.0462403533800222</v>
      </c>
      <c r="O28">
        <f t="shared" si="6"/>
        <v>1.8490871462148848</v>
      </c>
      <c r="P28">
        <f t="shared" si="7"/>
        <v>-0.3259669695248737</v>
      </c>
      <c r="R28">
        <f t="shared" si="11"/>
        <v>-2.1540172109991182</v>
      </c>
      <c r="S28">
        <f t="shared" si="8"/>
        <v>0.1964637510166316</v>
      </c>
      <c r="T28">
        <f t="shared" si="9"/>
        <v>-2.7812844042155729</v>
      </c>
    </row>
    <row r="29" spans="1:20" x14ac:dyDescent="0.25">
      <c r="A29">
        <v>9</v>
      </c>
      <c r="B29">
        <f t="shared" ca="1" si="0"/>
        <v>0.49368768478629899</v>
      </c>
      <c r="C29">
        <f t="shared" ca="1" si="1"/>
        <v>-0.56473713272988635</v>
      </c>
      <c r="D29">
        <f t="shared" ca="1" si="2"/>
        <v>-0.53080305870038769</v>
      </c>
      <c r="E29">
        <f t="shared" ca="1" si="3"/>
        <v>1</v>
      </c>
      <c r="F29">
        <f t="shared" ca="1" si="4"/>
        <v>-0.53080305870038769</v>
      </c>
      <c r="G29" t="e">
        <f t="shared" ca="1" si="5"/>
        <v>#N/A</v>
      </c>
      <c r="H29" t="e">
        <f>NA()</f>
        <v>#N/A</v>
      </c>
      <c r="I29" t="e">
        <f>NA()</f>
        <v>#N/A</v>
      </c>
      <c r="J29" t="e">
        <f>NA()</f>
        <v>#N/A</v>
      </c>
      <c r="K29" t="e">
        <f>NA()</f>
        <v>#N/A</v>
      </c>
      <c r="M29">
        <v>4</v>
      </c>
      <c r="N29">
        <f t="shared" si="10"/>
        <v>-2.9077748827718395</v>
      </c>
      <c r="O29">
        <f t="shared" si="6"/>
        <v>1.9692807391122837</v>
      </c>
      <c r="P29">
        <f t="shared" si="7"/>
        <v>-0.515393297726364</v>
      </c>
      <c r="R29">
        <f t="shared" si="11"/>
        <v>-2.0561073377718855</v>
      </c>
      <c r="S29">
        <f t="shared" si="8"/>
        <v>0.46715156233028599</v>
      </c>
      <c r="T29">
        <f t="shared" si="9"/>
        <v>-2.9344803676565476</v>
      </c>
    </row>
    <row r="30" spans="1:20" x14ac:dyDescent="0.25">
      <c r="A30">
        <v>10</v>
      </c>
      <c r="B30">
        <f t="shared" ca="1" si="0"/>
        <v>0.70583949186722705</v>
      </c>
      <c r="C30">
        <f t="shared" ca="1" si="1"/>
        <v>4.2390780799608194</v>
      </c>
      <c r="D30">
        <f t="shared" ca="1" si="2"/>
        <v>3.1028547974440408</v>
      </c>
      <c r="E30">
        <f t="shared" ca="1" si="3"/>
        <v>2</v>
      </c>
      <c r="F30" t="e">
        <f t="shared" ca="1" si="4"/>
        <v>#N/A</v>
      </c>
      <c r="G30">
        <f t="shared" ca="1" si="5"/>
        <v>3.1028547974440408</v>
      </c>
      <c r="H30" t="e">
        <f>NA()</f>
        <v>#N/A</v>
      </c>
      <c r="I30" t="e">
        <f>NA()</f>
        <v>#N/A</v>
      </c>
      <c r="J30" t="e">
        <f>NA()</f>
        <v>#N/A</v>
      </c>
      <c r="K30" t="e">
        <f>NA()</f>
        <v>#N/A</v>
      </c>
      <c r="M30">
        <v>5</v>
      </c>
      <c r="N30">
        <f t="shared" si="10"/>
        <v>-2.7693094121636568</v>
      </c>
      <c r="O30">
        <f t="shared" si="6"/>
        <v>2.0661218545363211</v>
      </c>
      <c r="P30">
        <f t="shared" si="7"/>
        <v>-0.68146714845449274</v>
      </c>
      <c r="R30">
        <f t="shared" si="11"/>
        <v>-1.9581974645446529</v>
      </c>
      <c r="S30">
        <f t="shared" si="8"/>
        <v>0.70586876830902168</v>
      </c>
      <c r="T30">
        <f t="shared" si="9"/>
        <v>-3.0557057257626044</v>
      </c>
    </row>
    <row r="31" spans="1:20" x14ac:dyDescent="0.25">
      <c r="A31">
        <v>11</v>
      </c>
      <c r="B31">
        <f t="shared" ca="1" si="0"/>
        <v>0.47812707094031681</v>
      </c>
      <c r="C31">
        <f t="shared" ca="1" si="1"/>
        <v>-1.1607911976569065</v>
      </c>
      <c r="D31">
        <f t="shared" ca="1" si="2"/>
        <v>-9.6999822613876185E-2</v>
      </c>
      <c r="E31">
        <f t="shared" ca="1" si="3"/>
        <v>1</v>
      </c>
      <c r="F31">
        <f t="shared" ca="1" si="4"/>
        <v>-9.6999822613876185E-2</v>
      </c>
      <c r="G31" t="e">
        <f t="shared" ca="1" si="5"/>
        <v>#N/A</v>
      </c>
      <c r="H31" t="e">
        <f>NA()</f>
        <v>#N/A</v>
      </c>
      <c r="I31" t="e">
        <f>NA()</f>
        <v>#N/A</v>
      </c>
      <c r="J31" t="e">
        <f>NA()</f>
        <v>#N/A</v>
      </c>
      <c r="K31" t="e">
        <f>NA()</f>
        <v>#N/A</v>
      </c>
      <c r="M31">
        <v>6</v>
      </c>
      <c r="N31">
        <f t="shared" si="10"/>
        <v>-2.6308439415554736</v>
      </c>
      <c r="O31">
        <f t="shared" si="6"/>
        <v>2.1458122240857223</v>
      </c>
      <c r="P31">
        <f t="shared" si="7"/>
        <v>-0.83039025330798533</v>
      </c>
      <c r="R31">
        <f t="shared" si="11"/>
        <v>-1.8602875913174204</v>
      </c>
      <c r="S31">
        <f t="shared" si="8"/>
        <v>0.92110582199201252</v>
      </c>
      <c r="T31">
        <f t="shared" si="9"/>
        <v>-3.1534509315729164</v>
      </c>
    </row>
    <row r="32" spans="1:20" x14ac:dyDescent="0.25">
      <c r="A32">
        <v>12</v>
      </c>
      <c r="B32">
        <f t="shared" ca="1" si="0"/>
        <v>0.91049189635166561</v>
      </c>
      <c r="C32">
        <f t="shared" ca="1" si="1"/>
        <v>4.3915782617710164</v>
      </c>
      <c r="D32">
        <f t="shared" ca="1" si="2"/>
        <v>4.748526941024064</v>
      </c>
      <c r="E32">
        <f t="shared" ca="1" si="3"/>
        <v>2</v>
      </c>
      <c r="F32" t="e">
        <f t="shared" ca="1" si="4"/>
        <v>#N/A</v>
      </c>
      <c r="G32">
        <f t="shared" ca="1" si="5"/>
        <v>4.748526941024064</v>
      </c>
      <c r="H32" t="e">
        <f>NA()</f>
        <v>#N/A</v>
      </c>
      <c r="I32" t="e">
        <f>NA()</f>
        <v>#N/A</v>
      </c>
      <c r="J32" t="e">
        <f>NA()</f>
        <v>#N/A</v>
      </c>
      <c r="K32" t="e">
        <f>NA()</f>
        <v>#N/A</v>
      </c>
      <c r="M32">
        <v>7</v>
      </c>
      <c r="N32">
        <f t="shared" si="10"/>
        <v>-2.4923784709472909</v>
      </c>
      <c r="O32">
        <f t="shared" si="6"/>
        <v>2.2120575374273055</v>
      </c>
      <c r="P32">
        <f t="shared" si="7"/>
        <v>-0.96586830195365991</v>
      </c>
      <c r="R32">
        <f t="shared" si="11"/>
        <v>-1.7623777180901876</v>
      </c>
      <c r="S32">
        <f t="shared" si="8"/>
        <v>1.1179359813223073</v>
      </c>
      <c r="T32">
        <f t="shared" si="9"/>
        <v>-3.2327892430305321</v>
      </c>
    </row>
    <row r="33" spans="1:20" x14ac:dyDescent="0.25">
      <c r="A33">
        <v>13</v>
      </c>
      <c r="B33">
        <f t="shared" ca="1" si="0"/>
        <v>0.34693275191459216</v>
      </c>
      <c r="C33">
        <f t="shared" ca="1" si="1"/>
        <v>-1.6970819022287003</v>
      </c>
      <c r="D33">
        <f t="shared" ca="1" si="2"/>
        <v>0.62784153563177958</v>
      </c>
      <c r="E33">
        <f t="shared" ca="1" si="3"/>
        <v>1</v>
      </c>
      <c r="F33">
        <f t="shared" ca="1" si="4"/>
        <v>0.62784153563177958</v>
      </c>
      <c r="G33" t="e">
        <f t="shared" ca="1" si="5"/>
        <v>#N/A</v>
      </c>
      <c r="H33" t="e">
        <f>NA()</f>
        <v>#N/A</v>
      </c>
      <c r="I33" t="e">
        <f>NA()</f>
        <v>#N/A</v>
      </c>
      <c r="J33" t="e">
        <f>NA()</f>
        <v>#N/A</v>
      </c>
      <c r="K33" t="e">
        <f>NA()</f>
        <v>#N/A</v>
      </c>
      <c r="M33">
        <v>8</v>
      </c>
      <c r="N33">
        <f t="shared" si="10"/>
        <v>-2.3539130003391082</v>
      </c>
      <c r="O33">
        <f t="shared" si="6"/>
        <v>2.2672828613959308</v>
      </c>
      <c r="P33">
        <f t="shared" si="7"/>
        <v>-1.0903263612263769</v>
      </c>
      <c r="R33">
        <f t="shared" si="11"/>
        <v>-1.6644678448629548</v>
      </c>
      <c r="S33">
        <f t="shared" si="8"/>
        <v>1.2996792732553537</v>
      </c>
      <c r="T33">
        <f t="shared" si="9"/>
        <v>-3.2970406870908988</v>
      </c>
    </row>
    <row r="34" spans="1:20" x14ac:dyDescent="0.25">
      <c r="A34">
        <v>14</v>
      </c>
      <c r="B34">
        <f t="shared" ca="1" si="0"/>
        <v>0.42667805086451105</v>
      </c>
      <c r="C34">
        <f t="shared" ca="1" si="1"/>
        <v>-1.1039833758771549</v>
      </c>
      <c r="D34">
        <f t="shared" ca="1" si="2"/>
        <v>-0.58528186108806324</v>
      </c>
      <c r="E34">
        <f t="shared" ca="1" si="3"/>
        <v>1</v>
      </c>
      <c r="F34">
        <f t="shared" ca="1" si="4"/>
        <v>-0.58528186108806324</v>
      </c>
      <c r="G34" t="e">
        <f t="shared" ca="1" si="5"/>
        <v>#N/A</v>
      </c>
      <c r="H34" t="e">
        <f>NA()</f>
        <v>#N/A</v>
      </c>
      <c r="I34" t="e">
        <f>NA()</f>
        <v>#N/A</v>
      </c>
      <c r="J34" t="e">
        <f>NA()</f>
        <v>#N/A</v>
      </c>
      <c r="K34" t="e">
        <f>NA()</f>
        <v>#N/A</v>
      </c>
      <c r="M34">
        <v>9</v>
      </c>
      <c r="N34">
        <f t="shared" si="10"/>
        <v>-2.2154475297309251</v>
      </c>
      <c r="O34">
        <f t="shared" si="6"/>
        <v>2.3131772563881752</v>
      </c>
      <c r="P34">
        <f t="shared" si="7"/>
        <v>-1.2054534915227126</v>
      </c>
      <c r="R34">
        <f t="shared" si="11"/>
        <v>-1.5665579716357223</v>
      </c>
      <c r="S34">
        <f t="shared" si="8"/>
        <v>1.4686480984084906</v>
      </c>
      <c r="T34">
        <f t="shared" si="9"/>
        <v>-3.3485176643713568</v>
      </c>
    </row>
    <row r="35" spans="1:20" x14ac:dyDescent="0.25">
      <c r="A35">
        <v>15</v>
      </c>
      <c r="B35">
        <f t="shared" ca="1" si="0"/>
        <v>0.60611496842221824</v>
      </c>
      <c r="C35">
        <f t="shared" ca="1" si="1"/>
        <v>3.8594640680730765</v>
      </c>
      <c r="D35">
        <f t="shared" ca="1" si="2"/>
        <v>5.5760379095523369</v>
      </c>
      <c r="E35">
        <f t="shared" ca="1" si="3"/>
        <v>2</v>
      </c>
      <c r="F35" t="e">
        <f t="shared" ca="1" si="4"/>
        <v>#N/A</v>
      </c>
      <c r="G35">
        <f t="shared" ca="1" si="5"/>
        <v>5.5760379095523369</v>
      </c>
      <c r="H35" t="e">
        <f>NA()</f>
        <v>#N/A</v>
      </c>
      <c r="I35" t="e">
        <f>NA()</f>
        <v>#N/A</v>
      </c>
      <c r="J35" t="e">
        <f>NA()</f>
        <v>#N/A</v>
      </c>
      <c r="K35" t="e">
        <f>NA()</f>
        <v>#N/A</v>
      </c>
      <c r="M35">
        <v>10</v>
      </c>
      <c r="N35">
        <f t="shared" si="10"/>
        <v>-2.0769820591227424</v>
      </c>
      <c r="O35">
        <f t="shared" si="6"/>
        <v>2.3509715167745622</v>
      </c>
      <c r="P35">
        <f t="shared" si="7"/>
        <v>-1.3124804872131908</v>
      </c>
      <c r="R35">
        <f t="shared" si="11"/>
        <v>-1.4686480984084898</v>
      </c>
      <c r="S35">
        <f t="shared" si="8"/>
        <v>1.6265274703359904</v>
      </c>
      <c r="T35">
        <f t="shared" si="9"/>
        <v>-3.3889051884261776</v>
      </c>
    </row>
    <row r="36" spans="1:20" x14ac:dyDescent="0.25">
      <c r="A36">
        <v>16</v>
      </c>
      <c r="B36">
        <f t="shared" ca="1" si="0"/>
        <v>4.6387169234490155E-2</v>
      </c>
      <c r="C36">
        <f t="shared" ca="1" si="1"/>
        <v>-1.5888254252359202</v>
      </c>
      <c r="D36">
        <f t="shared" ca="1" si="2"/>
        <v>0.84490333146139562</v>
      </c>
      <c r="E36">
        <f t="shared" ca="1" si="3"/>
        <v>1</v>
      </c>
      <c r="F36">
        <f t="shared" ca="1" si="4"/>
        <v>0.84490333146139562</v>
      </c>
      <c r="G36" t="e">
        <f t="shared" ca="1" si="5"/>
        <v>#N/A</v>
      </c>
      <c r="H36" t="e">
        <f>NA()</f>
        <v>#N/A</v>
      </c>
      <c r="I36" t="e">
        <f>NA()</f>
        <v>#N/A</v>
      </c>
      <c r="J36" t="e">
        <f>NA()</f>
        <v>#N/A</v>
      </c>
      <c r="K36" t="e">
        <f>NA()</f>
        <v>#N/A</v>
      </c>
      <c r="M36">
        <v>11</v>
      </c>
      <c r="N36">
        <f t="shared" si="10"/>
        <v>-1.9385165885145597</v>
      </c>
      <c r="O36">
        <f t="shared" si="6"/>
        <v>2.3815934607078528</v>
      </c>
      <c r="P36">
        <f t="shared" si="7"/>
        <v>-1.4123351664505728</v>
      </c>
      <c r="R36">
        <f t="shared" si="11"/>
        <v>-1.370738225181257</v>
      </c>
      <c r="S36">
        <f t="shared" si="8"/>
        <v>1.7745876143498513</v>
      </c>
      <c r="T36">
        <f t="shared" si="9"/>
        <v>-3.4194734845673596</v>
      </c>
    </row>
    <row r="37" spans="1:20" x14ac:dyDescent="0.25">
      <c r="A37">
        <v>17</v>
      </c>
      <c r="B37">
        <f t="shared" ca="1" si="0"/>
        <v>0.76228729236350778</v>
      </c>
      <c r="C37">
        <f t="shared" ca="1" si="1"/>
        <v>3.1700254907721344</v>
      </c>
      <c r="D37">
        <f t="shared" ca="1" si="2"/>
        <v>3.1461149255680692</v>
      </c>
      <c r="E37">
        <f t="shared" ca="1" si="3"/>
        <v>2</v>
      </c>
      <c r="F37" t="e">
        <f t="shared" ca="1" si="4"/>
        <v>#N/A</v>
      </c>
      <c r="G37">
        <f t="shared" ca="1" si="5"/>
        <v>3.1461149255680692</v>
      </c>
      <c r="H37" t="e">
        <f>NA()</f>
        <v>#N/A</v>
      </c>
      <c r="I37" t="e">
        <f>NA()</f>
        <v>#N/A</v>
      </c>
      <c r="J37" t="e">
        <f>NA()</f>
        <v>#N/A</v>
      </c>
      <c r="K37" t="e">
        <f>NA()</f>
        <v>#N/A</v>
      </c>
      <c r="M37">
        <v>12</v>
      </c>
      <c r="N37">
        <f t="shared" si="10"/>
        <v>-1.8000511179063767</v>
      </c>
      <c r="O37">
        <f t="shared" si="6"/>
        <v>2.4057609654335019</v>
      </c>
      <c r="P37">
        <f t="shared" si="7"/>
        <v>-1.5057354064803137</v>
      </c>
      <c r="R37">
        <f t="shared" si="11"/>
        <v>-1.2728283519540244</v>
      </c>
      <c r="S37">
        <f t="shared" si="8"/>
        <v>1.9138113370974414</v>
      </c>
      <c r="T37">
        <f t="shared" si="9"/>
        <v>-3.4412053594422707</v>
      </c>
    </row>
    <row r="38" spans="1:20" x14ac:dyDescent="0.25">
      <c r="A38">
        <v>18</v>
      </c>
      <c r="B38">
        <f t="shared" ca="1" si="0"/>
        <v>0.9759568078318398</v>
      </c>
      <c r="C38">
        <f t="shared" ca="1" si="1"/>
        <v>4.5703129876344226</v>
      </c>
      <c r="D38">
        <f t="shared" ca="1" si="2"/>
        <v>3.5738992225995521</v>
      </c>
      <c r="E38">
        <f t="shared" ca="1" si="3"/>
        <v>2</v>
      </c>
      <c r="F38" t="e">
        <f t="shared" ca="1" si="4"/>
        <v>#N/A</v>
      </c>
      <c r="G38">
        <f t="shared" ca="1" si="5"/>
        <v>3.5738992225995521</v>
      </c>
      <c r="H38" t="e">
        <f>NA()</f>
        <v>#N/A</v>
      </c>
      <c r="I38" t="e">
        <f>NA()</f>
        <v>#N/A</v>
      </c>
      <c r="J38" t="e">
        <f>NA()</f>
        <v>#N/A</v>
      </c>
      <c r="K38" t="e">
        <f>NA()</f>
        <v>#N/A</v>
      </c>
      <c r="M38">
        <v>13</v>
      </c>
      <c r="N38">
        <f t="shared" si="10"/>
        <v>-1.661585647298194</v>
      </c>
      <c r="O38">
        <f t="shared" si="6"/>
        <v>2.424040787024528</v>
      </c>
      <c r="P38">
        <f t="shared" si="7"/>
        <v>-1.5932479633754308</v>
      </c>
      <c r="R38">
        <f t="shared" si="11"/>
        <v>-1.1749184787267917</v>
      </c>
      <c r="S38">
        <f t="shared" si="8"/>
        <v>2.0449745534576982</v>
      </c>
      <c r="T38">
        <f t="shared" si="9"/>
        <v>-3.4548767279298476</v>
      </c>
    </row>
    <row r="39" spans="1:20" x14ac:dyDescent="0.25">
      <c r="A39">
        <v>19</v>
      </c>
      <c r="B39">
        <f t="shared" ca="1" si="0"/>
        <v>0.94456660857629904</v>
      </c>
      <c r="C39">
        <f t="shared" ca="1" si="1"/>
        <v>3.5076650710607127</v>
      </c>
      <c r="D39">
        <f t="shared" ca="1" si="2"/>
        <v>3.425018562710973</v>
      </c>
      <c r="E39">
        <f t="shared" ca="1" si="3"/>
        <v>2</v>
      </c>
      <c r="F39" t="e">
        <f t="shared" ca="1" si="4"/>
        <v>#N/A</v>
      </c>
      <c r="G39">
        <f t="shared" ca="1" si="5"/>
        <v>3.425018562710973</v>
      </c>
      <c r="H39" t="e">
        <f>NA()</f>
        <v>#N/A</v>
      </c>
      <c r="I39" t="e">
        <f>NA()</f>
        <v>#N/A</v>
      </c>
      <c r="J39" t="e">
        <f>NA()</f>
        <v>#N/A</v>
      </c>
      <c r="K39" t="e">
        <f>NA()</f>
        <v>#N/A</v>
      </c>
      <c r="M39">
        <v>14</v>
      </c>
      <c r="N39">
        <f t="shared" si="10"/>
        <v>-1.5231201766900111</v>
      </c>
      <c r="O39">
        <f t="shared" si="6"/>
        <v>2.4368873819443886</v>
      </c>
      <c r="P39">
        <f t="shared" si="7"/>
        <v>-1.6753272935993833</v>
      </c>
      <c r="R39">
        <f t="shared" si="11"/>
        <v>-1.0770086054995591</v>
      </c>
      <c r="S39">
        <f t="shared" si="8"/>
        <v>2.1686994350289748</v>
      </c>
      <c r="T39">
        <f t="shared" si="9"/>
        <v>-3.4611097616284452</v>
      </c>
    </row>
    <row r="40" spans="1:20" x14ac:dyDescent="0.25">
      <c r="A40">
        <v>20</v>
      </c>
      <c r="B40">
        <f t="shared" ca="1" si="0"/>
        <v>0.66473797144471236</v>
      </c>
      <c r="C40">
        <f t="shared" ca="1" si="1"/>
        <v>4.5448847299734689</v>
      </c>
      <c r="D40">
        <f t="shared" ca="1" si="2"/>
        <v>4.4237030427098842</v>
      </c>
      <c r="E40">
        <f t="shared" ca="1" si="3"/>
        <v>2</v>
      </c>
      <c r="F40" t="e">
        <f t="shared" ca="1" si="4"/>
        <v>#N/A</v>
      </c>
      <c r="G40">
        <f t="shared" ca="1" si="5"/>
        <v>4.4237030427098842</v>
      </c>
      <c r="H40" t="e">
        <f>NA()</f>
        <v>#N/A</v>
      </c>
      <c r="I40" t="e">
        <f>NA()</f>
        <v>#N/A</v>
      </c>
      <c r="J40" t="e">
        <f>NA()</f>
        <v>#N/A</v>
      </c>
      <c r="K40" t="e">
        <f>NA()</f>
        <v>#N/A</v>
      </c>
      <c r="M40">
        <v>15</v>
      </c>
      <c r="N40">
        <f t="shared" si="10"/>
        <v>-1.3846547060818284</v>
      </c>
      <c r="O40">
        <f t="shared" si="6"/>
        <v>2.4446694406593994</v>
      </c>
      <c r="P40">
        <f t="shared" si="7"/>
        <v>-1.752342087618485</v>
      </c>
      <c r="R40">
        <f t="shared" si="11"/>
        <v>-0.97909873227232636</v>
      </c>
      <c r="S40">
        <f t="shared" si="8"/>
        <v>2.2854907358530117</v>
      </c>
      <c r="T40">
        <f t="shared" si="9"/>
        <v>-3.4604092145798031</v>
      </c>
    </row>
    <row r="41" spans="1:20" x14ac:dyDescent="0.25">
      <c r="A41">
        <v>21</v>
      </c>
      <c r="B41">
        <f t="shared" ca="1" si="0"/>
        <v>1.0518007296127507E-2</v>
      </c>
      <c r="C41">
        <f t="shared" ca="1" si="1"/>
        <v>0.62275887877545733</v>
      </c>
      <c r="D41">
        <f t="shared" ca="1" si="2"/>
        <v>-1.3213708754517626</v>
      </c>
      <c r="E41">
        <f t="shared" ca="1" si="3"/>
        <v>1</v>
      </c>
      <c r="F41">
        <f t="shared" ca="1" si="4"/>
        <v>-1.3213708754517626</v>
      </c>
      <c r="G41" t="e">
        <f t="shared" ca="1" si="5"/>
        <v>#N/A</v>
      </c>
      <c r="H41" t="e">
        <f>NA()</f>
        <v>#N/A</v>
      </c>
      <c r="I41" t="e">
        <f>NA()</f>
        <v>#N/A</v>
      </c>
      <c r="J41" t="e">
        <f>NA()</f>
        <v>#N/A</v>
      </c>
      <c r="K41" t="e">
        <f>NA()</f>
        <v>#N/A</v>
      </c>
      <c r="M41">
        <v>16</v>
      </c>
      <c r="N41">
        <f t="shared" si="10"/>
        <v>-1.2461892354736457</v>
      </c>
      <c r="O41">
        <f t="shared" si="6"/>
        <v>2.4476885493011311</v>
      </c>
      <c r="P41">
        <f t="shared" si="7"/>
        <v>-1.8245939315643085</v>
      </c>
      <c r="R41">
        <f t="shared" si="11"/>
        <v>-0.88118885904509381</v>
      </c>
      <c r="S41">
        <f t="shared" si="8"/>
        <v>2.3957613410807705</v>
      </c>
      <c r="T41">
        <f t="shared" si="9"/>
        <v>-3.453187971934883</v>
      </c>
    </row>
    <row r="42" spans="1:20" x14ac:dyDescent="0.25">
      <c r="A42">
        <v>22</v>
      </c>
      <c r="B42">
        <f t="shared" ca="1" si="0"/>
        <v>5.6726296519909347E-2</v>
      </c>
      <c r="C42">
        <f t="shared" ca="1" si="1"/>
        <v>-2.8518153123804284</v>
      </c>
      <c r="D42">
        <f t="shared" ca="1" si="2"/>
        <v>1.1384930784411349</v>
      </c>
      <c r="E42">
        <f t="shared" ca="1" si="3"/>
        <v>1</v>
      </c>
      <c r="F42">
        <f t="shared" ca="1" si="4"/>
        <v>1.1384930784411349</v>
      </c>
      <c r="G42" t="e">
        <f t="shared" ca="1" si="5"/>
        <v>#N/A</v>
      </c>
      <c r="H42" t="e">
        <f>NA()</f>
        <v>#N/A</v>
      </c>
      <c r="I42" t="e">
        <f>NA()</f>
        <v>#N/A</v>
      </c>
      <c r="J42" t="e">
        <f>NA()</f>
        <v>#N/A</v>
      </c>
      <c r="K42" t="e">
        <f>NA()</f>
        <v>#N/A</v>
      </c>
      <c r="M42">
        <v>17</v>
      </c>
      <c r="N42">
        <f t="shared" si="10"/>
        <v>-1.1077237648654625</v>
      </c>
      <c r="O42">
        <f t="shared" si="6"/>
        <v>2.44619262559163</v>
      </c>
      <c r="P42">
        <f t="shared" si="7"/>
        <v>-1.8923307431588989</v>
      </c>
      <c r="R42">
        <f t="shared" si="11"/>
        <v>-0.78327898581786126</v>
      </c>
      <c r="S42">
        <f t="shared" si="8"/>
        <v>2.4998506613660512</v>
      </c>
      <c r="T42">
        <f t="shared" si="9"/>
        <v>-3.4397854443474847</v>
      </c>
    </row>
    <row r="43" spans="1:20" x14ac:dyDescent="0.25">
      <c r="A43">
        <v>23</v>
      </c>
      <c r="B43">
        <f t="shared" ca="1" si="0"/>
        <v>0.81005871825881082</v>
      </c>
      <c r="C43">
        <f t="shared" ca="1" si="1"/>
        <v>3.3959342300941153</v>
      </c>
      <c r="D43">
        <f t="shared" ca="1" si="2"/>
        <v>2.6785734693164667</v>
      </c>
      <c r="E43">
        <f t="shared" ca="1" si="3"/>
        <v>2</v>
      </c>
      <c r="F43" t="e">
        <f t="shared" ca="1" si="4"/>
        <v>#N/A</v>
      </c>
      <c r="G43">
        <f t="shared" ca="1" si="5"/>
        <v>2.6785734693164667</v>
      </c>
      <c r="H43" t="e">
        <f>NA()</f>
        <v>#N/A</v>
      </c>
      <c r="I43" t="e">
        <f>NA()</f>
        <v>#N/A</v>
      </c>
      <c r="J43" t="e">
        <f>NA()</f>
        <v>#N/A</v>
      </c>
      <c r="K43" t="e">
        <f>NA()</f>
        <v>#N/A</v>
      </c>
      <c r="M43">
        <v>18</v>
      </c>
      <c r="N43">
        <f t="shared" si="10"/>
        <v>-0.96925829425727983</v>
      </c>
      <c r="O43">
        <f t="shared" si="6"/>
        <v>2.4403857759569716</v>
      </c>
      <c r="P43">
        <f t="shared" si="7"/>
        <v>-1.9557566288283317</v>
      </c>
      <c r="R43">
        <f t="shared" si="11"/>
        <v>-0.68536911259062849</v>
      </c>
      <c r="S43">
        <f t="shared" si="8"/>
        <v>2.5980381277029241</v>
      </c>
      <c r="T43">
        <f t="shared" si="9"/>
        <v>-3.4204810628116777</v>
      </c>
    </row>
    <row r="44" spans="1:20" x14ac:dyDescent="0.25">
      <c r="A44">
        <v>24</v>
      </c>
      <c r="B44">
        <f t="shared" ca="1" si="0"/>
        <v>0.93740403234398118</v>
      </c>
      <c r="C44">
        <f t="shared" ca="1" si="1"/>
        <v>4.8282492711948386</v>
      </c>
      <c r="D44">
        <f t="shared" ca="1" si="2"/>
        <v>5.1524801769849446</v>
      </c>
      <c r="E44">
        <f t="shared" ca="1" si="3"/>
        <v>2</v>
      </c>
      <c r="F44" t="e">
        <f t="shared" ca="1" si="4"/>
        <v>#N/A</v>
      </c>
      <c r="G44">
        <f t="shared" ca="1" si="5"/>
        <v>5.1524801769849446</v>
      </c>
      <c r="H44" t="e">
        <f>NA()</f>
        <v>#N/A</v>
      </c>
      <c r="I44" t="e">
        <f>NA()</f>
        <v>#N/A</v>
      </c>
      <c r="J44" t="e">
        <f>NA()</f>
        <v>#N/A</v>
      </c>
      <c r="K44" t="e">
        <f>NA()</f>
        <v>#N/A</v>
      </c>
      <c r="M44">
        <v>19</v>
      </c>
      <c r="N44">
        <f t="shared" si="10"/>
        <v>-0.83079282364909668</v>
      </c>
      <c r="O44">
        <f t="shared" si="6"/>
        <v>2.430435632048173</v>
      </c>
      <c r="P44">
        <f t="shared" si="7"/>
        <v>-2.0150392202236249</v>
      </c>
      <c r="R44">
        <f t="shared" si="11"/>
        <v>-0.58745923936339595</v>
      </c>
      <c r="S44">
        <f t="shared" si="8"/>
        <v>2.6905532354570281</v>
      </c>
      <c r="T44">
        <f t="shared" si="9"/>
        <v>-3.3955043226931028</v>
      </c>
    </row>
    <row r="45" spans="1:20" x14ac:dyDescent="0.25">
      <c r="A45">
        <v>25</v>
      </c>
      <c r="B45">
        <f t="shared" ca="1" si="0"/>
        <v>5.8339162047461368E-2</v>
      </c>
      <c r="C45">
        <f t="shared" ca="1" si="1"/>
        <v>-2.4425088894226077</v>
      </c>
      <c r="D45">
        <f t="shared" ca="1" si="2"/>
        <v>0.54247850777974804</v>
      </c>
      <c r="E45">
        <f t="shared" ca="1" si="3"/>
        <v>1</v>
      </c>
      <c r="F45">
        <f t="shared" ca="1" si="4"/>
        <v>0.54247850777974804</v>
      </c>
      <c r="G45" t="e">
        <f t="shared" ca="1" si="5"/>
        <v>#N/A</v>
      </c>
      <c r="H45" t="e">
        <f>NA()</f>
        <v>#N/A</v>
      </c>
      <c r="I45" t="e">
        <f>NA()</f>
        <v>#N/A</v>
      </c>
      <c r="J45" t="e">
        <f>NA()</f>
        <v>#N/A</v>
      </c>
      <c r="K45" t="e">
        <f>NA()</f>
        <v>#N/A</v>
      </c>
      <c r="M45">
        <v>20</v>
      </c>
      <c r="N45">
        <f t="shared" si="10"/>
        <v>-0.69232735304091397</v>
      </c>
      <c r="O45">
        <f t="shared" si="6"/>
        <v>2.4164788649968481</v>
      </c>
      <c r="P45">
        <f t="shared" si="7"/>
        <v>-2.0703151884763908</v>
      </c>
      <c r="R45">
        <f t="shared" si="11"/>
        <v>-0.48954936613616318</v>
      </c>
      <c r="S45">
        <f t="shared" si="8"/>
        <v>2.7775830936327259</v>
      </c>
      <c r="T45">
        <f t="shared" si="9"/>
        <v>-3.3650423329961217</v>
      </c>
    </row>
    <row r="46" spans="1:20" x14ac:dyDescent="0.25">
      <c r="A46">
        <v>26</v>
      </c>
      <c r="B46">
        <f t="shared" ca="1" si="0"/>
        <v>0.4098433527904134</v>
      </c>
      <c r="C46">
        <f t="shared" ca="1" si="1"/>
        <v>-1.2016605648263705</v>
      </c>
      <c r="D46">
        <f t="shared" ca="1" si="2"/>
        <v>0.94263755283431794</v>
      </c>
      <c r="E46">
        <f t="shared" ca="1" si="3"/>
        <v>1</v>
      </c>
      <c r="F46">
        <f t="shared" ca="1" si="4"/>
        <v>0.94263755283431794</v>
      </c>
      <c r="G46" t="e">
        <f t="shared" ca="1" si="5"/>
        <v>#N/A</v>
      </c>
      <c r="H46" t="e">
        <f>NA()</f>
        <v>#N/A</v>
      </c>
      <c r="I46" t="e">
        <f>NA()</f>
        <v>#N/A</v>
      </c>
      <c r="J46" t="e">
        <f>NA()</f>
        <v>#N/A</v>
      </c>
      <c r="K46" t="e">
        <f>NA()</f>
        <v>#N/A</v>
      </c>
      <c r="M46">
        <v>21</v>
      </c>
      <c r="N46">
        <f t="shared" si="10"/>
        <v>-0.55386188243273171</v>
      </c>
      <c r="O46">
        <f t="shared" si="6"/>
        <v>2.3986253483301692</v>
      </c>
      <c r="P46">
        <f t="shared" si="7"/>
        <v>-2.1216944071138037</v>
      </c>
      <c r="R46">
        <f t="shared" si="11"/>
        <v>-0.39163949290893063</v>
      </c>
      <c r="S46">
        <f t="shared" si="8"/>
        <v>2.8592781240933101</v>
      </c>
      <c r="T46">
        <f t="shared" si="9"/>
        <v>-3.3292455155840268</v>
      </c>
    </row>
    <row r="47" spans="1:20" x14ac:dyDescent="0.25">
      <c r="A47">
        <v>27</v>
      </c>
      <c r="B47">
        <f t="shared" ca="1" si="0"/>
        <v>0.33047449631552783</v>
      </c>
      <c r="C47">
        <f t="shared" ca="1" si="1"/>
        <v>-1.9836222454864094</v>
      </c>
      <c r="D47">
        <f t="shared" ca="1" si="2"/>
        <v>-0.87755413954322092</v>
      </c>
      <c r="E47">
        <f t="shared" ca="1" si="3"/>
        <v>1</v>
      </c>
      <c r="F47">
        <f t="shared" ca="1" si="4"/>
        <v>-0.87755413954322092</v>
      </c>
      <c r="G47" t="e">
        <f t="shared" ca="1" si="5"/>
        <v>#N/A</v>
      </c>
      <c r="H47" t="e">
        <f>NA()</f>
        <v>#N/A</v>
      </c>
      <c r="I47" t="e">
        <f>NA()</f>
        <v>#N/A</v>
      </c>
      <c r="J47" t="e">
        <f>NA()</f>
        <v>#N/A</v>
      </c>
      <c r="K47" t="e">
        <f>NA()</f>
        <v>#N/A</v>
      </c>
      <c r="M47">
        <v>22</v>
      </c>
      <c r="N47">
        <f t="shared" si="10"/>
        <v>-0.41539641182454856</v>
      </c>
      <c r="O47">
        <f t="shared" si="6"/>
        <v>2.3769612923180974</v>
      </c>
      <c r="P47">
        <f t="shared" si="7"/>
        <v>-2.1692630864058229</v>
      </c>
      <c r="R47">
        <f t="shared" si="11"/>
        <v>-0.29372961968169786</v>
      </c>
      <c r="S47">
        <f t="shared" si="8"/>
        <v>2.935756352625118</v>
      </c>
      <c r="T47">
        <f t="shared" si="9"/>
        <v>-3.2882318962431549</v>
      </c>
    </row>
    <row r="48" spans="1:20" x14ac:dyDescent="0.25">
      <c r="A48">
        <v>28</v>
      </c>
      <c r="B48">
        <f t="shared" ca="1" si="0"/>
        <v>0.14255745300613087</v>
      </c>
      <c r="C48">
        <f t="shared" ca="1" si="1"/>
        <v>1.6622592288218931</v>
      </c>
      <c r="D48">
        <f t="shared" ca="1" si="2"/>
        <v>0.72654005066302962</v>
      </c>
      <c r="E48">
        <f t="shared" ca="1" si="3"/>
        <v>1</v>
      </c>
      <c r="F48">
        <f t="shared" ca="1" si="4"/>
        <v>0.72654005066302962</v>
      </c>
      <c r="G48" t="e">
        <f t="shared" ca="1" si="5"/>
        <v>#N/A</v>
      </c>
      <c r="H48" t="e">
        <f>NA()</f>
        <v>#N/A</v>
      </c>
      <c r="I48" t="e">
        <f>NA()</f>
        <v>#N/A</v>
      </c>
      <c r="J48" t="e">
        <f>NA()</f>
        <v>#N/A</v>
      </c>
      <c r="K48" t="e">
        <f>NA()</f>
        <v>#N/A</v>
      </c>
      <c r="M48">
        <v>23</v>
      </c>
      <c r="N48">
        <f t="shared" si="10"/>
        <v>-0.27693094121636586</v>
      </c>
      <c r="O48">
        <f t="shared" si="6"/>
        <v>2.3515515730775691</v>
      </c>
      <c r="P48">
        <f t="shared" si="7"/>
        <v>-2.2130861024693864</v>
      </c>
      <c r="R48">
        <f t="shared" si="11"/>
        <v>-0.19581974645446509</v>
      </c>
      <c r="S48">
        <f t="shared" si="8"/>
        <v>3.0071065975872568</v>
      </c>
      <c r="T48">
        <f t="shared" si="9"/>
        <v>-3.2420902933326148</v>
      </c>
    </row>
    <row r="49" spans="1:20" x14ac:dyDescent="0.25">
      <c r="A49">
        <v>29</v>
      </c>
      <c r="B49">
        <f t="shared" ca="1" si="0"/>
        <v>0.9466338031034891</v>
      </c>
      <c r="C49">
        <f t="shared" ca="1" si="1"/>
        <v>3.6762867759521787</v>
      </c>
      <c r="D49">
        <f t="shared" ca="1" si="2"/>
        <v>4.1985185778780938</v>
      </c>
      <c r="E49">
        <f t="shared" ca="1" si="3"/>
        <v>2</v>
      </c>
      <c r="F49" t="e">
        <f t="shared" ca="1" si="4"/>
        <v>#N/A</v>
      </c>
      <c r="G49">
        <f t="shared" ca="1" si="5"/>
        <v>4.1985185778780938</v>
      </c>
      <c r="H49" t="e">
        <f>NA()</f>
        <v>#N/A</v>
      </c>
      <c r="I49" t="e">
        <f>NA()</f>
        <v>#N/A</v>
      </c>
      <c r="J49" t="e">
        <f>NA()</f>
        <v>#N/A</v>
      </c>
      <c r="K49" t="e">
        <f>NA()</f>
        <v>#N/A</v>
      </c>
      <c r="M49">
        <v>24</v>
      </c>
      <c r="N49">
        <f t="shared" si="10"/>
        <v>-0.13846547060818271</v>
      </c>
      <c r="O49">
        <f t="shared" si="6"/>
        <v>2.3224414108652569</v>
      </c>
      <c r="P49">
        <f t="shared" si="7"/>
        <v>-2.253208675561166</v>
      </c>
      <c r="R49">
        <f t="shared" si="11"/>
        <v>-9.7909873227232769E-2</v>
      </c>
      <c r="S49">
        <f t="shared" si="8"/>
        <v>3.0733907675708303</v>
      </c>
      <c r="T49">
        <f t="shared" si="9"/>
        <v>-3.1908826154435093</v>
      </c>
    </row>
    <row r="50" spans="1:20" x14ac:dyDescent="0.25">
      <c r="A50">
        <v>30</v>
      </c>
      <c r="B50">
        <f t="shared" ca="1" si="0"/>
        <v>0.15845917617211458</v>
      </c>
      <c r="C50">
        <f t="shared" ca="1" si="1"/>
        <v>0.24139067967495381</v>
      </c>
      <c r="D50">
        <f t="shared" ca="1" si="2"/>
        <v>1.9582439529326852</v>
      </c>
      <c r="E50">
        <f t="shared" ca="1" si="3"/>
        <v>1</v>
      </c>
      <c r="F50">
        <f t="shared" ca="1" si="4"/>
        <v>1.9582439529326852</v>
      </c>
      <c r="G50" t="e">
        <f t="shared" ca="1" si="5"/>
        <v>#N/A</v>
      </c>
      <c r="H50" t="e">
        <f>NA()</f>
        <v>#N/A</v>
      </c>
      <c r="I50" t="e">
        <f>NA()</f>
        <v>#N/A</v>
      </c>
      <c r="J50" t="e">
        <f>NA()</f>
        <v>#N/A</v>
      </c>
      <c r="K50" t="e">
        <f>NA()</f>
        <v>#N/A</v>
      </c>
      <c r="M50">
        <v>25</v>
      </c>
      <c r="N50">
        <f t="shared" si="10"/>
        <v>0</v>
      </c>
      <c r="O50">
        <f t="shared" si="6"/>
        <v>2.2896575024923451</v>
      </c>
      <c r="P50">
        <f t="shared" si="7"/>
        <v>-2.2896575024923451</v>
      </c>
      <c r="R50">
        <f t="shared" si="11"/>
        <v>0</v>
      </c>
      <c r="S50">
        <f t="shared" si="8"/>
        <v>3.1346454117263551</v>
      </c>
      <c r="T50">
        <f t="shared" si="9"/>
        <v>-3.1346454117263551</v>
      </c>
    </row>
    <row r="51" spans="1:20" x14ac:dyDescent="0.25">
      <c r="A51">
        <v>31</v>
      </c>
      <c r="B51">
        <f t="shared" ca="1" si="0"/>
        <v>0.99369616529877458</v>
      </c>
      <c r="C51">
        <f t="shared" ca="1" si="1"/>
        <v>3.6844118986422254</v>
      </c>
      <c r="D51">
        <f t="shared" ca="1" si="2"/>
        <v>3.1855024765695266</v>
      </c>
      <c r="E51">
        <f t="shared" ca="1" si="3"/>
        <v>2</v>
      </c>
      <c r="F51" t="e">
        <f t="shared" ca="1" si="4"/>
        <v>#N/A</v>
      </c>
      <c r="G51">
        <f t="shared" ca="1" si="5"/>
        <v>3.1855024765695266</v>
      </c>
      <c r="H51" t="e">
        <f>NA()</f>
        <v>#N/A</v>
      </c>
      <c r="I51" t="e">
        <f>NA()</f>
        <v>#N/A</v>
      </c>
      <c r="J51" t="e">
        <f>NA()</f>
        <v>#N/A</v>
      </c>
      <c r="K51" t="e">
        <f>NA()</f>
        <v>#N/A</v>
      </c>
      <c r="M51">
        <v>26</v>
      </c>
      <c r="N51">
        <f t="shared" si="10"/>
        <v>0.13846547060818271</v>
      </c>
      <c r="O51">
        <f t="shared" si="6"/>
        <v>2.253208675561166</v>
      </c>
      <c r="P51">
        <f t="shared" si="7"/>
        <v>-2.3224414108652569</v>
      </c>
      <c r="R51">
        <f t="shared" si="11"/>
        <v>9.7909873227232769E-2</v>
      </c>
      <c r="S51">
        <f t="shared" si="8"/>
        <v>3.1908826154435093</v>
      </c>
      <c r="T51">
        <f t="shared" si="9"/>
        <v>-3.0733907675708303</v>
      </c>
    </row>
    <row r="52" spans="1:20" x14ac:dyDescent="0.25">
      <c r="A52">
        <v>32</v>
      </c>
      <c r="B52">
        <f t="shared" ca="1" si="0"/>
        <v>0.90319330992181934</v>
      </c>
      <c r="C52">
        <f t="shared" ca="1" si="1"/>
        <v>4.1239662011296749</v>
      </c>
      <c r="D52">
        <f t="shared" ca="1" si="2"/>
        <v>1.3679160461373217</v>
      </c>
      <c r="E52">
        <f t="shared" ca="1" si="3"/>
        <v>2</v>
      </c>
      <c r="F52" t="e">
        <f t="shared" ca="1" si="4"/>
        <v>#N/A</v>
      </c>
      <c r="G52">
        <f t="shared" ca="1" si="5"/>
        <v>1.3679160461373217</v>
      </c>
      <c r="H52" t="e">
        <f>NA()</f>
        <v>#N/A</v>
      </c>
      <c r="I52" t="e">
        <f>NA()</f>
        <v>#N/A</v>
      </c>
      <c r="J52" t="e">
        <f>NA()</f>
        <v>#N/A</v>
      </c>
      <c r="K52" t="e">
        <f>NA()</f>
        <v>#N/A</v>
      </c>
      <c r="M52">
        <v>27</v>
      </c>
      <c r="N52">
        <f t="shared" si="10"/>
        <v>0.27693094121636541</v>
      </c>
      <c r="O52">
        <f t="shared" si="6"/>
        <v>2.2130861024693869</v>
      </c>
      <c r="P52">
        <f t="shared" si="7"/>
        <v>-2.3515515730775696</v>
      </c>
      <c r="R52">
        <f t="shared" si="11"/>
        <v>0.19581974645446509</v>
      </c>
      <c r="S52">
        <f t="shared" si="8"/>
        <v>3.2420902933326148</v>
      </c>
      <c r="T52">
        <f t="shared" si="9"/>
        <v>-3.0071065975872568</v>
      </c>
    </row>
    <row r="53" spans="1:20" x14ac:dyDescent="0.25">
      <c r="A53">
        <v>33</v>
      </c>
      <c r="B53">
        <f t="shared" ca="1" si="0"/>
        <v>0.61030876662034161</v>
      </c>
      <c r="C53">
        <f t="shared" ca="1" si="1"/>
        <v>4.0536739765063983</v>
      </c>
      <c r="D53">
        <f t="shared" ca="1" si="2"/>
        <v>3.8974874503899573</v>
      </c>
      <c r="E53">
        <f t="shared" ca="1" si="3"/>
        <v>2</v>
      </c>
      <c r="F53" t="e">
        <f t="shared" ca="1" si="4"/>
        <v>#N/A</v>
      </c>
      <c r="G53">
        <f t="shared" ca="1" si="5"/>
        <v>3.8974874503899573</v>
      </c>
      <c r="H53" t="e">
        <f>NA()</f>
        <v>#N/A</v>
      </c>
      <c r="I53" t="e">
        <f>NA()</f>
        <v>#N/A</v>
      </c>
      <c r="J53" t="e">
        <f>NA()</f>
        <v>#N/A</v>
      </c>
      <c r="K53" t="e">
        <f>NA()</f>
        <v>#N/A</v>
      </c>
      <c r="M53">
        <v>28</v>
      </c>
      <c r="N53">
        <f t="shared" si="10"/>
        <v>0.41539641182454856</v>
      </c>
      <c r="O53">
        <f t="shared" si="6"/>
        <v>2.1692630864058229</v>
      </c>
      <c r="P53">
        <f t="shared" si="7"/>
        <v>-2.3769612923180974</v>
      </c>
      <c r="R53">
        <f t="shared" si="11"/>
        <v>0.29372961968169786</v>
      </c>
      <c r="S53">
        <f t="shared" si="8"/>
        <v>3.2882318962431549</v>
      </c>
      <c r="T53">
        <f t="shared" si="9"/>
        <v>-2.935756352625118</v>
      </c>
    </row>
    <row r="54" spans="1:20" x14ac:dyDescent="0.25">
      <c r="A54">
        <v>34</v>
      </c>
      <c r="B54">
        <f t="shared" ca="1" si="0"/>
        <v>0.50841989242613372</v>
      </c>
      <c r="C54">
        <f t="shared" ca="1" si="1"/>
        <v>0.39334960106432287</v>
      </c>
      <c r="D54">
        <f t="shared" ca="1" si="2"/>
        <v>-0.24748845965545208</v>
      </c>
      <c r="E54">
        <f t="shared" ca="1" si="3"/>
        <v>1</v>
      </c>
      <c r="F54">
        <f t="shared" ca="1" si="4"/>
        <v>-0.24748845965545208</v>
      </c>
      <c r="G54" t="e">
        <f t="shared" ca="1" si="5"/>
        <v>#N/A</v>
      </c>
      <c r="H54" t="e">
        <f>NA()</f>
        <v>#N/A</v>
      </c>
      <c r="I54" t="e">
        <f>NA()</f>
        <v>#N/A</v>
      </c>
      <c r="J54" t="e">
        <f>NA()</f>
        <v>#N/A</v>
      </c>
      <c r="K54" t="e">
        <f>NA()</f>
        <v>#N/A</v>
      </c>
      <c r="M54">
        <v>29</v>
      </c>
      <c r="N54">
        <f t="shared" si="10"/>
        <v>0.55386188243273127</v>
      </c>
      <c r="O54">
        <f t="shared" si="6"/>
        <v>2.1216944071138037</v>
      </c>
      <c r="P54">
        <f t="shared" si="7"/>
        <v>-2.3986253483301692</v>
      </c>
      <c r="R54">
        <f t="shared" si="11"/>
        <v>0.39163949290893019</v>
      </c>
      <c r="S54">
        <f t="shared" si="8"/>
        <v>3.3292455155840264</v>
      </c>
      <c r="T54">
        <f t="shared" si="9"/>
        <v>-2.8592781240933105</v>
      </c>
    </row>
    <row r="55" spans="1:20" x14ac:dyDescent="0.25">
      <c r="A55">
        <v>35</v>
      </c>
      <c r="B55">
        <f t="shared" ca="1" si="0"/>
        <v>0.12979151271490852</v>
      </c>
      <c r="C55">
        <f t="shared" ca="1" si="1"/>
        <v>-0.15681921393749493</v>
      </c>
      <c r="D55">
        <f t="shared" ca="1" si="2"/>
        <v>0.53565201309621113</v>
      </c>
      <c r="E55">
        <f t="shared" ca="1" si="3"/>
        <v>1</v>
      </c>
      <c r="F55">
        <f t="shared" ca="1" si="4"/>
        <v>0.53565201309621113</v>
      </c>
      <c r="G55" t="e">
        <f t="shared" ca="1" si="5"/>
        <v>#N/A</v>
      </c>
      <c r="H55" t="e">
        <f>NA()</f>
        <v>#N/A</v>
      </c>
      <c r="I55" t="e">
        <f>NA()</f>
        <v>#N/A</v>
      </c>
      <c r="J55" t="e">
        <f>NA()</f>
        <v>#N/A</v>
      </c>
      <c r="K55" t="e">
        <f>NA()</f>
        <v>#N/A</v>
      </c>
      <c r="M55">
        <v>30</v>
      </c>
      <c r="N55">
        <f t="shared" si="10"/>
        <v>0.69232735304091397</v>
      </c>
      <c r="O55">
        <f t="shared" si="6"/>
        <v>2.0703151884763908</v>
      </c>
      <c r="P55">
        <f t="shared" si="7"/>
        <v>-2.4164788649968481</v>
      </c>
      <c r="R55">
        <f t="shared" si="11"/>
        <v>0.4895493661361634</v>
      </c>
      <c r="S55">
        <f t="shared" si="8"/>
        <v>3.3650423329961217</v>
      </c>
      <c r="T55">
        <f t="shared" si="9"/>
        <v>-2.7775830936327259</v>
      </c>
    </row>
    <row r="56" spans="1:20" x14ac:dyDescent="0.25">
      <c r="A56">
        <v>36</v>
      </c>
      <c r="B56">
        <f t="shared" ca="1" si="0"/>
        <v>0.78268536634730868</v>
      </c>
      <c r="C56">
        <f t="shared" ca="1" si="1"/>
        <v>3.3177088846235838</v>
      </c>
      <c r="D56">
        <f t="shared" ca="1" si="2"/>
        <v>4.3688033661675227</v>
      </c>
      <c r="E56">
        <f t="shared" ca="1" si="3"/>
        <v>2</v>
      </c>
      <c r="F56" t="e">
        <f t="shared" ca="1" si="4"/>
        <v>#N/A</v>
      </c>
      <c r="G56">
        <f t="shared" ca="1" si="5"/>
        <v>4.3688033661675227</v>
      </c>
      <c r="H56" t="e">
        <f>NA()</f>
        <v>#N/A</v>
      </c>
      <c r="I56" t="e">
        <f>NA()</f>
        <v>#N/A</v>
      </c>
      <c r="J56" t="e">
        <f>NA()</f>
        <v>#N/A</v>
      </c>
      <c r="K56" t="e">
        <f>NA()</f>
        <v>#N/A</v>
      </c>
      <c r="M56">
        <v>31</v>
      </c>
      <c r="N56">
        <f t="shared" si="10"/>
        <v>0.83079282364909668</v>
      </c>
      <c r="O56">
        <f t="shared" si="6"/>
        <v>2.0150392202236249</v>
      </c>
      <c r="P56">
        <f t="shared" si="7"/>
        <v>-2.430435632048173</v>
      </c>
      <c r="R56">
        <f t="shared" si="11"/>
        <v>0.58745923936339617</v>
      </c>
      <c r="S56">
        <f t="shared" si="8"/>
        <v>3.3955043226931028</v>
      </c>
      <c r="T56">
        <f t="shared" si="9"/>
        <v>-2.6905532354570272</v>
      </c>
    </row>
    <row r="57" spans="1:20" x14ac:dyDescent="0.25">
      <c r="A57">
        <v>37</v>
      </c>
      <c r="B57">
        <f t="shared" ca="1" si="0"/>
        <v>0.57359741362578742</v>
      </c>
      <c r="C57">
        <f t="shared" ca="1" si="1"/>
        <v>-1.8021770233629841</v>
      </c>
      <c r="D57">
        <f t="shared" ca="1" si="2"/>
        <v>1.4148218546387457</v>
      </c>
      <c r="E57">
        <f t="shared" ca="1" si="3"/>
        <v>1</v>
      </c>
      <c r="F57">
        <f t="shared" ca="1" si="4"/>
        <v>1.4148218546387457</v>
      </c>
      <c r="G57" t="e">
        <f t="shared" ca="1" si="5"/>
        <v>#N/A</v>
      </c>
      <c r="H57" t="e">
        <f>NA()</f>
        <v>#N/A</v>
      </c>
      <c r="I57" t="e">
        <f>NA()</f>
        <v>#N/A</v>
      </c>
      <c r="J57" t="e">
        <f>NA()</f>
        <v>#N/A</v>
      </c>
      <c r="K57" t="e">
        <f>NA()</f>
        <v>#N/A</v>
      </c>
      <c r="M57">
        <v>32</v>
      </c>
      <c r="N57">
        <f t="shared" si="10"/>
        <v>0.96925829425727938</v>
      </c>
      <c r="O57">
        <f t="shared" si="6"/>
        <v>1.9557566288283317</v>
      </c>
      <c r="P57">
        <f t="shared" si="7"/>
        <v>-2.4403857759569716</v>
      </c>
      <c r="R57">
        <f t="shared" si="11"/>
        <v>0.68536911259062849</v>
      </c>
      <c r="S57">
        <f t="shared" si="8"/>
        <v>3.4204810628116777</v>
      </c>
      <c r="T57">
        <f t="shared" si="9"/>
        <v>-2.5980381277029241</v>
      </c>
    </row>
    <row r="58" spans="1:20" x14ac:dyDescent="0.25">
      <c r="A58">
        <v>38</v>
      </c>
      <c r="B58">
        <f t="shared" ca="1" si="0"/>
        <v>0.21625066194381681</v>
      </c>
      <c r="C58">
        <f t="shared" ca="1" si="1"/>
        <v>-3.9052468460126173</v>
      </c>
      <c r="D58">
        <f t="shared" ca="1" si="2"/>
        <v>0.4892909937328867</v>
      </c>
      <c r="E58">
        <f t="shared" ca="1" si="3"/>
        <v>1</v>
      </c>
      <c r="F58">
        <f t="shared" ca="1" si="4"/>
        <v>0.4892909937328867</v>
      </c>
      <c r="G58" t="e">
        <f t="shared" ca="1" si="5"/>
        <v>#N/A</v>
      </c>
      <c r="H58" t="e">
        <f>NA()</f>
        <v>#N/A</v>
      </c>
      <c r="I58" t="e">
        <f>NA()</f>
        <v>#N/A</v>
      </c>
      <c r="J58" t="e">
        <f>NA()</f>
        <v>#N/A</v>
      </c>
      <c r="K58" t="e">
        <f>NA()</f>
        <v>#N/A</v>
      </c>
      <c r="M58">
        <v>33</v>
      </c>
      <c r="N58">
        <f t="shared" si="10"/>
        <v>1.107723764865463</v>
      </c>
      <c r="O58">
        <f t="shared" si="6"/>
        <v>1.8923307431588983</v>
      </c>
      <c r="P58">
        <f t="shared" si="7"/>
        <v>-2.44619262559163</v>
      </c>
      <c r="R58">
        <f t="shared" si="11"/>
        <v>0.78327898581786126</v>
      </c>
      <c r="S58">
        <f t="shared" si="8"/>
        <v>3.4397854443474847</v>
      </c>
      <c r="T58">
        <f t="shared" si="9"/>
        <v>-2.4998506613660512</v>
      </c>
    </row>
    <row r="59" spans="1:20" x14ac:dyDescent="0.25">
      <c r="A59">
        <v>39</v>
      </c>
      <c r="B59">
        <f t="shared" ca="1" si="0"/>
        <v>2.6698955352358889E-3</v>
      </c>
      <c r="C59">
        <f t="shared" ca="1" si="1"/>
        <v>-1.9755702888926949</v>
      </c>
      <c r="D59">
        <f t="shared" ca="1" si="2"/>
        <v>1.2980628060708148</v>
      </c>
      <c r="E59">
        <f t="shared" ca="1" si="3"/>
        <v>1</v>
      </c>
      <c r="F59">
        <f t="shared" ca="1" si="4"/>
        <v>1.2980628060708148</v>
      </c>
      <c r="G59" t="e">
        <f t="shared" ca="1" si="5"/>
        <v>#N/A</v>
      </c>
      <c r="H59" t="e">
        <f>NA()</f>
        <v>#N/A</v>
      </c>
      <c r="I59" t="e">
        <f>NA()</f>
        <v>#N/A</v>
      </c>
      <c r="J59" t="e">
        <f>NA()</f>
        <v>#N/A</v>
      </c>
      <c r="K59" t="e">
        <f>NA()</f>
        <v>#N/A</v>
      </c>
      <c r="M59">
        <v>34</v>
      </c>
      <c r="N59">
        <f t="shared" si="10"/>
        <v>1.2461892354736457</v>
      </c>
      <c r="O59">
        <f t="shared" si="6"/>
        <v>1.8245939315643085</v>
      </c>
      <c r="P59">
        <f t="shared" si="7"/>
        <v>-2.4476885493011311</v>
      </c>
      <c r="R59">
        <f t="shared" si="11"/>
        <v>0.88118885904509359</v>
      </c>
      <c r="S59">
        <f t="shared" si="8"/>
        <v>3.4531879719348826</v>
      </c>
      <c r="T59">
        <f t="shared" si="9"/>
        <v>-2.395761341080771</v>
      </c>
    </row>
    <row r="60" spans="1:20" x14ac:dyDescent="0.25">
      <c r="A60">
        <v>40</v>
      </c>
      <c r="B60">
        <f t="shared" ca="1" si="0"/>
        <v>0.29501642901980885</v>
      </c>
      <c r="C60">
        <f t="shared" ca="1" si="1"/>
        <v>2.2980267342775349</v>
      </c>
      <c r="D60">
        <f t="shared" ca="1" si="2"/>
        <v>0.36216689780307021</v>
      </c>
      <c r="E60">
        <f t="shared" ca="1" si="3"/>
        <v>1</v>
      </c>
      <c r="F60">
        <f t="shared" ca="1" si="4"/>
        <v>0.36216689780307021</v>
      </c>
      <c r="G60" t="e">
        <f t="shared" ca="1" si="5"/>
        <v>#N/A</v>
      </c>
      <c r="H60" t="e">
        <f>NA()</f>
        <v>#N/A</v>
      </c>
      <c r="I60" t="e">
        <f>NA()</f>
        <v>#N/A</v>
      </c>
      <c r="J60" t="e">
        <f>NA()</f>
        <v>#N/A</v>
      </c>
      <c r="K60" t="e">
        <f>NA()</f>
        <v>#N/A</v>
      </c>
      <c r="M60">
        <v>35</v>
      </c>
      <c r="N60">
        <f t="shared" si="10"/>
        <v>1.3846547060818284</v>
      </c>
      <c r="O60">
        <f t="shared" si="6"/>
        <v>1.752342087618485</v>
      </c>
      <c r="P60">
        <f t="shared" si="7"/>
        <v>-2.4446694406593994</v>
      </c>
      <c r="R60">
        <f t="shared" si="11"/>
        <v>0.9790987322723268</v>
      </c>
      <c r="S60">
        <f t="shared" si="8"/>
        <v>3.4604092145798031</v>
      </c>
      <c r="T60">
        <f t="shared" si="9"/>
        <v>-2.2854907358530108</v>
      </c>
    </row>
    <row r="61" spans="1:20" x14ac:dyDescent="0.25">
      <c r="A61">
        <v>41</v>
      </c>
      <c r="B61">
        <f t="shared" ca="1" si="0"/>
        <v>0.23103498961595581</v>
      </c>
      <c r="C61">
        <f t="shared" ca="1" si="1"/>
        <v>-0.24628108181306216</v>
      </c>
      <c r="D61">
        <f t="shared" ca="1" si="2"/>
        <v>0.66944383531158547</v>
      </c>
      <c r="E61">
        <f t="shared" ca="1" si="3"/>
        <v>1</v>
      </c>
      <c r="F61">
        <f t="shared" ca="1" si="4"/>
        <v>0.66944383531158547</v>
      </c>
      <c r="G61" t="e">
        <f t="shared" ca="1" si="5"/>
        <v>#N/A</v>
      </c>
      <c r="H61" t="e">
        <f>NA()</f>
        <v>#N/A</v>
      </c>
      <c r="I61" t="e">
        <f>NA()</f>
        <v>#N/A</v>
      </c>
      <c r="J61" t="e">
        <f>NA()</f>
        <v>#N/A</v>
      </c>
      <c r="K61" t="e">
        <f>NA()</f>
        <v>#N/A</v>
      </c>
      <c r="M61">
        <v>36</v>
      </c>
      <c r="N61">
        <f t="shared" si="10"/>
        <v>1.5231201766900111</v>
      </c>
      <c r="O61">
        <f t="shared" si="6"/>
        <v>1.6753272935993833</v>
      </c>
      <c r="P61">
        <f t="shared" si="7"/>
        <v>-2.4368873819443886</v>
      </c>
      <c r="R61">
        <f t="shared" si="11"/>
        <v>1.0770086054995591</v>
      </c>
      <c r="S61">
        <f t="shared" si="8"/>
        <v>3.4611097616284452</v>
      </c>
      <c r="T61">
        <f t="shared" si="9"/>
        <v>-2.1686994350289748</v>
      </c>
    </row>
    <row r="62" spans="1:20" x14ac:dyDescent="0.25">
      <c r="A62">
        <v>42</v>
      </c>
      <c r="B62">
        <f t="shared" ca="1" si="0"/>
        <v>0.92624959426659126</v>
      </c>
      <c r="C62">
        <f t="shared" ca="1" si="1"/>
        <v>4.8256020158874122</v>
      </c>
      <c r="D62">
        <f t="shared" ca="1" si="2"/>
        <v>5.2606819672534417</v>
      </c>
      <c r="E62">
        <f t="shared" ca="1" si="3"/>
        <v>2</v>
      </c>
      <c r="F62" t="e">
        <f t="shared" ca="1" si="4"/>
        <v>#N/A</v>
      </c>
      <c r="G62">
        <f t="shared" ca="1" si="5"/>
        <v>5.2606819672534417</v>
      </c>
      <c r="H62" t="e">
        <f>NA()</f>
        <v>#N/A</v>
      </c>
      <c r="I62" t="e">
        <f>NA()</f>
        <v>#N/A</v>
      </c>
      <c r="J62" t="e">
        <f>NA()</f>
        <v>#N/A</v>
      </c>
      <c r="K62" t="e">
        <f>NA()</f>
        <v>#N/A</v>
      </c>
      <c r="M62">
        <v>37</v>
      </c>
      <c r="N62">
        <f t="shared" si="10"/>
        <v>1.6615856472981938</v>
      </c>
      <c r="O62">
        <f t="shared" si="6"/>
        <v>1.5932479633754308</v>
      </c>
      <c r="P62">
        <f t="shared" si="7"/>
        <v>-2.424040787024528</v>
      </c>
      <c r="R62">
        <f t="shared" si="11"/>
        <v>1.1749184787267919</v>
      </c>
      <c r="S62">
        <f t="shared" si="8"/>
        <v>3.454876727929848</v>
      </c>
      <c r="T62">
        <f t="shared" si="9"/>
        <v>-2.0449745534576977</v>
      </c>
    </row>
    <row r="63" spans="1:20" x14ac:dyDescent="0.25">
      <c r="A63">
        <v>43</v>
      </c>
      <c r="B63">
        <f t="shared" ca="1" si="0"/>
        <v>0.25021476409817545</v>
      </c>
      <c r="C63">
        <f t="shared" ca="1" si="1"/>
        <v>2.3485839654435177</v>
      </c>
      <c r="D63">
        <f t="shared" ca="1" si="2"/>
        <v>1.1113155232550731</v>
      </c>
      <c r="E63">
        <f t="shared" ca="1" si="3"/>
        <v>1</v>
      </c>
      <c r="F63">
        <f t="shared" ca="1" si="4"/>
        <v>1.1113155232550731</v>
      </c>
      <c r="G63" t="e">
        <f t="shared" ca="1" si="5"/>
        <v>#N/A</v>
      </c>
      <c r="H63" t="e">
        <f>NA()</f>
        <v>#N/A</v>
      </c>
      <c r="I63" t="e">
        <f>NA()</f>
        <v>#N/A</v>
      </c>
      <c r="J63" t="e">
        <f>NA()</f>
        <v>#N/A</v>
      </c>
      <c r="K63" t="e">
        <f>NA()</f>
        <v>#N/A</v>
      </c>
      <c r="M63">
        <v>38</v>
      </c>
      <c r="N63">
        <f t="shared" si="10"/>
        <v>1.8000511179063774</v>
      </c>
      <c r="O63">
        <f t="shared" si="6"/>
        <v>1.505735406480313</v>
      </c>
      <c r="P63">
        <f t="shared" si="7"/>
        <v>-2.4057609654335019</v>
      </c>
      <c r="R63">
        <f t="shared" si="11"/>
        <v>1.2728283519540242</v>
      </c>
      <c r="S63">
        <f t="shared" si="8"/>
        <v>3.4412053594422707</v>
      </c>
      <c r="T63">
        <f t="shared" si="9"/>
        <v>-1.9138113370974417</v>
      </c>
    </row>
    <row r="64" spans="1:20" x14ac:dyDescent="0.25">
      <c r="A64">
        <v>44</v>
      </c>
      <c r="B64">
        <f t="shared" ca="1" si="0"/>
        <v>0.39610927517999872</v>
      </c>
      <c r="C64">
        <f t="shared" ca="1" si="1"/>
        <v>0.15723997490911548</v>
      </c>
      <c r="D64">
        <f t="shared" ca="1" si="2"/>
        <v>1.4854904517624401</v>
      </c>
      <c r="E64">
        <f t="shared" ca="1" si="3"/>
        <v>1</v>
      </c>
      <c r="F64">
        <f t="shared" ca="1" si="4"/>
        <v>1.4854904517624401</v>
      </c>
      <c r="G64" t="e">
        <f t="shared" ca="1" si="5"/>
        <v>#N/A</v>
      </c>
      <c r="H64" t="e">
        <f>NA()</f>
        <v>#N/A</v>
      </c>
      <c r="I64" t="e">
        <f>NA()</f>
        <v>#N/A</v>
      </c>
      <c r="J64" t="e">
        <f>NA()</f>
        <v>#N/A</v>
      </c>
      <c r="K64" t="e">
        <f>NA()</f>
        <v>#N/A</v>
      </c>
      <c r="M64">
        <v>39</v>
      </c>
      <c r="N64">
        <f t="shared" si="10"/>
        <v>1.9385165885145592</v>
      </c>
      <c r="O64">
        <f t="shared" si="6"/>
        <v>1.412335166450573</v>
      </c>
      <c r="P64">
        <f t="shared" si="7"/>
        <v>-2.3815934607078528</v>
      </c>
      <c r="R64">
        <f t="shared" si="11"/>
        <v>1.370738225181257</v>
      </c>
      <c r="S64">
        <f t="shared" si="8"/>
        <v>3.4194734845673596</v>
      </c>
      <c r="T64">
        <f t="shared" si="9"/>
        <v>-1.7745876143498513</v>
      </c>
    </row>
    <row r="65" spans="1:20" x14ac:dyDescent="0.25">
      <c r="A65">
        <v>45</v>
      </c>
      <c r="B65">
        <f t="shared" ca="1" si="0"/>
        <v>0.89102668630495174</v>
      </c>
      <c r="C65">
        <f t="shared" ca="1" si="1"/>
        <v>3.4724211971263492</v>
      </c>
      <c r="D65">
        <f t="shared" ca="1" si="2"/>
        <v>3.5961400546947822</v>
      </c>
      <c r="E65">
        <f t="shared" ca="1" si="3"/>
        <v>2</v>
      </c>
      <c r="F65" t="e">
        <f t="shared" ca="1" si="4"/>
        <v>#N/A</v>
      </c>
      <c r="G65">
        <f t="shared" ca="1" si="5"/>
        <v>3.5961400546947822</v>
      </c>
      <c r="H65" t="e">
        <f>NA()</f>
        <v>#N/A</v>
      </c>
      <c r="I65" t="e">
        <f>NA()</f>
        <v>#N/A</v>
      </c>
      <c r="J65" t="e">
        <f>NA()</f>
        <v>#N/A</v>
      </c>
      <c r="K65" t="e">
        <f>NA()</f>
        <v>#N/A</v>
      </c>
      <c r="M65">
        <v>40</v>
      </c>
      <c r="N65">
        <f t="shared" si="10"/>
        <v>2.0769820591227428</v>
      </c>
      <c r="O65">
        <f t="shared" si="6"/>
        <v>1.3124804872131905</v>
      </c>
      <c r="P65">
        <f t="shared" si="7"/>
        <v>-2.3509715167745617</v>
      </c>
      <c r="R65">
        <f t="shared" si="11"/>
        <v>1.4686480984084898</v>
      </c>
      <c r="S65">
        <f t="shared" si="8"/>
        <v>3.3889051884261776</v>
      </c>
      <c r="T65">
        <f t="shared" si="9"/>
        <v>-1.6265274703359904</v>
      </c>
    </row>
    <row r="66" spans="1:20" x14ac:dyDescent="0.25">
      <c r="A66">
        <v>46</v>
      </c>
      <c r="B66">
        <f t="shared" ca="1" si="0"/>
        <v>0.18312851350621684</v>
      </c>
      <c r="C66">
        <f t="shared" ca="1" si="1"/>
        <v>1.2562848598038634</v>
      </c>
      <c r="D66">
        <f t="shared" ca="1" si="2"/>
        <v>-1.1154959125052932E-2</v>
      </c>
      <c r="E66">
        <f t="shared" ca="1" si="3"/>
        <v>1</v>
      </c>
      <c r="F66">
        <f t="shared" ca="1" si="4"/>
        <v>-1.1154959125052932E-2</v>
      </c>
      <c r="G66" t="e">
        <f t="shared" ca="1" si="5"/>
        <v>#N/A</v>
      </c>
      <c r="H66" t="e">
        <f>NA()</f>
        <v>#N/A</v>
      </c>
      <c r="I66" t="e">
        <f>NA()</f>
        <v>#N/A</v>
      </c>
      <c r="J66" t="e">
        <f>NA()</f>
        <v>#N/A</v>
      </c>
      <c r="K66" t="e">
        <f>NA()</f>
        <v>#N/A</v>
      </c>
      <c r="M66">
        <v>41</v>
      </c>
      <c r="N66">
        <f t="shared" si="10"/>
        <v>2.2154475297309255</v>
      </c>
      <c r="O66">
        <f t="shared" si="6"/>
        <v>1.2054534915227122</v>
      </c>
      <c r="P66">
        <f t="shared" si="7"/>
        <v>-2.3131772563881752</v>
      </c>
      <c r="R66">
        <f t="shared" si="11"/>
        <v>1.5665579716357225</v>
      </c>
      <c r="S66">
        <f t="shared" si="8"/>
        <v>3.3485176643713563</v>
      </c>
      <c r="T66">
        <f t="shared" si="9"/>
        <v>-1.46864809840849</v>
      </c>
    </row>
    <row r="67" spans="1:20" x14ac:dyDescent="0.25">
      <c r="A67">
        <v>47</v>
      </c>
      <c r="B67">
        <f t="shared" ca="1" si="0"/>
        <v>0.46578715030864759</v>
      </c>
      <c r="C67">
        <f t="shared" ca="1" si="1"/>
        <v>-0.90484495195411307</v>
      </c>
      <c r="D67">
        <f t="shared" ca="1" si="2"/>
        <v>-2.155579781297226E-2</v>
      </c>
      <c r="E67">
        <f t="shared" ca="1" si="3"/>
        <v>1</v>
      </c>
      <c r="F67">
        <f t="shared" ca="1" si="4"/>
        <v>-2.155579781297226E-2</v>
      </c>
      <c r="G67" t="e">
        <f t="shared" ca="1" si="5"/>
        <v>#N/A</v>
      </c>
      <c r="H67" t="e">
        <f>NA()</f>
        <v>#N/A</v>
      </c>
      <c r="I67" t="e">
        <f>NA()</f>
        <v>#N/A</v>
      </c>
      <c r="J67" t="e">
        <f>NA()</f>
        <v>#N/A</v>
      </c>
      <c r="K67" t="e">
        <f>NA()</f>
        <v>#N/A</v>
      </c>
      <c r="M67">
        <v>42</v>
      </c>
      <c r="N67">
        <f t="shared" si="10"/>
        <v>2.3539130003391073</v>
      </c>
      <c r="O67">
        <f t="shared" si="6"/>
        <v>1.0903263612263774</v>
      </c>
      <c r="P67">
        <f t="shared" si="7"/>
        <v>-2.2672828613959313</v>
      </c>
      <c r="R67">
        <f t="shared" si="11"/>
        <v>1.6644678448629548</v>
      </c>
      <c r="S67">
        <f t="shared" si="8"/>
        <v>3.2970406870908988</v>
      </c>
      <c r="T67">
        <f t="shared" si="9"/>
        <v>-1.2996792732553537</v>
      </c>
    </row>
    <row r="68" spans="1:20" x14ac:dyDescent="0.25">
      <c r="A68">
        <v>48</v>
      </c>
      <c r="B68">
        <f t="shared" ca="1" si="0"/>
        <v>0.10193653588922047</v>
      </c>
      <c r="C68">
        <f t="shared" ca="1" si="1"/>
        <v>3.240484936416439</v>
      </c>
      <c r="D68">
        <f t="shared" ca="1" si="2"/>
        <v>-1.9049677521168906</v>
      </c>
      <c r="E68">
        <f t="shared" ca="1" si="3"/>
        <v>1</v>
      </c>
      <c r="F68">
        <f t="shared" ca="1" si="4"/>
        <v>-1.9049677521168906</v>
      </c>
      <c r="G68" t="e">
        <f t="shared" ca="1" si="5"/>
        <v>#N/A</v>
      </c>
      <c r="H68" t="e">
        <f>NA()</f>
        <v>#N/A</v>
      </c>
      <c r="I68" t="e">
        <f>NA()</f>
        <v>#N/A</v>
      </c>
      <c r="J68" t="e">
        <f>NA()</f>
        <v>#N/A</v>
      </c>
      <c r="K68" t="e">
        <f>NA()</f>
        <v>#N/A</v>
      </c>
      <c r="M68">
        <v>43</v>
      </c>
      <c r="N68">
        <f t="shared" si="10"/>
        <v>2.4923784709472909</v>
      </c>
      <c r="O68">
        <f t="shared" si="6"/>
        <v>0.96586830195365991</v>
      </c>
      <c r="P68">
        <f t="shared" si="7"/>
        <v>-2.2120575374273055</v>
      </c>
      <c r="R68">
        <f t="shared" si="11"/>
        <v>1.7623777180901872</v>
      </c>
      <c r="S68">
        <f t="shared" si="8"/>
        <v>3.2327892430305321</v>
      </c>
      <c r="T68">
        <f t="shared" si="9"/>
        <v>-1.117935981322308</v>
      </c>
    </row>
    <row r="69" spans="1:20" x14ac:dyDescent="0.25">
      <c r="A69">
        <v>49</v>
      </c>
      <c r="B69">
        <f t="shared" ca="1" si="0"/>
        <v>0.32719046359417803</v>
      </c>
      <c r="C69">
        <f t="shared" ca="1" si="1"/>
        <v>-0.31959727481456074</v>
      </c>
      <c r="D69">
        <f t="shared" ca="1" si="2"/>
        <v>0.18613665035716853</v>
      </c>
      <c r="E69">
        <f t="shared" ca="1" si="3"/>
        <v>1</v>
      </c>
      <c r="F69">
        <f t="shared" ca="1" si="4"/>
        <v>0.18613665035716853</v>
      </c>
      <c r="G69" t="e">
        <f t="shared" ca="1" si="5"/>
        <v>#N/A</v>
      </c>
      <c r="H69" t="e">
        <f>NA()</f>
        <v>#N/A</v>
      </c>
      <c r="I69" t="e">
        <f>NA()</f>
        <v>#N/A</v>
      </c>
      <c r="J69" t="e">
        <f>NA()</f>
        <v>#N/A</v>
      </c>
      <c r="K69" t="e">
        <f>NA()</f>
        <v>#N/A</v>
      </c>
      <c r="M69">
        <v>44</v>
      </c>
      <c r="N69">
        <f t="shared" si="10"/>
        <v>2.6308439415554736</v>
      </c>
      <c r="O69">
        <f t="shared" si="6"/>
        <v>0.83039025330798533</v>
      </c>
      <c r="P69">
        <f t="shared" si="7"/>
        <v>-2.1458122240857223</v>
      </c>
      <c r="R69">
        <f t="shared" si="11"/>
        <v>1.8602875913174204</v>
      </c>
      <c r="S69">
        <f t="shared" si="8"/>
        <v>3.1534509315729164</v>
      </c>
      <c r="T69">
        <f t="shared" si="9"/>
        <v>-0.92110582199201252</v>
      </c>
    </row>
    <row r="70" spans="1:20" x14ac:dyDescent="0.25">
      <c r="A70">
        <v>50</v>
      </c>
      <c r="B70">
        <f t="shared" ca="1" si="0"/>
        <v>0.68583732444539447</v>
      </c>
      <c r="C70">
        <f t="shared" ca="1" si="1"/>
        <v>4.2799461829071008</v>
      </c>
      <c r="D70">
        <f t="shared" ca="1" si="2"/>
        <v>2.1850190542708461</v>
      </c>
      <c r="E70">
        <f t="shared" ca="1" si="3"/>
        <v>2</v>
      </c>
      <c r="F70" t="e">
        <f t="shared" ca="1" si="4"/>
        <v>#N/A</v>
      </c>
      <c r="G70">
        <f t="shared" ca="1" si="5"/>
        <v>2.1850190542708461</v>
      </c>
      <c r="H70" t="e">
        <f>NA()</f>
        <v>#N/A</v>
      </c>
      <c r="I70" t="e">
        <f>NA()</f>
        <v>#N/A</v>
      </c>
      <c r="J70" t="e">
        <f>NA()</f>
        <v>#N/A</v>
      </c>
      <c r="K70" t="e">
        <f>NA()</f>
        <v>#N/A</v>
      </c>
      <c r="M70">
        <v>45</v>
      </c>
      <c r="N70">
        <f t="shared" si="10"/>
        <v>2.7693094121636572</v>
      </c>
      <c r="O70">
        <f t="shared" si="6"/>
        <v>0.68146714845449219</v>
      </c>
      <c r="P70">
        <f t="shared" si="7"/>
        <v>-2.0661218545363207</v>
      </c>
      <c r="R70">
        <f t="shared" si="11"/>
        <v>1.9581974645446527</v>
      </c>
      <c r="S70">
        <f t="shared" si="8"/>
        <v>3.0557057257626048</v>
      </c>
      <c r="T70">
        <f t="shared" si="9"/>
        <v>-0.7058687683090219</v>
      </c>
    </row>
    <row r="71" spans="1:20" x14ac:dyDescent="0.25">
      <c r="A71">
        <v>51</v>
      </c>
      <c r="B71">
        <f t="shared" ca="1" si="0"/>
        <v>0.36895090437493938</v>
      </c>
      <c r="C71">
        <f t="shared" ca="1" si="1"/>
        <v>-1.1384909306303921</v>
      </c>
      <c r="D71">
        <f t="shared" ca="1" si="2"/>
        <v>1.3311464632220005</v>
      </c>
      <c r="E71">
        <f t="shared" ca="1" si="3"/>
        <v>1</v>
      </c>
      <c r="F71">
        <f t="shared" ca="1" si="4"/>
        <v>1.3311464632220005</v>
      </c>
      <c r="G71" t="e">
        <f t="shared" ca="1" si="5"/>
        <v>#N/A</v>
      </c>
      <c r="H71" t="e">
        <f>NA()</f>
        <v>#N/A</v>
      </c>
      <c r="I71" t="e">
        <f>NA()</f>
        <v>#N/A</v>
      </c>
      <c r="J71" t="e">
        <f>NA()</f>
        <v>#N/A</v>
      </c>
      <c r="K71" t="e">
        <f>NA()</f>
        <v>#N/A</v>
      </c>
      <c r="M71">
        <v>46</v>
      </c>
      <c r="N71">
        <f t="shared" si="10"/>
        <v>2.907774882771839</v>
      </c>
      <c r="O71">
        <f t="shared" si="6"/>
        <v>0.51539329772636455</v>
      </c>
      <c r="P71">
        <f t="shared" si="7"/>
        <v>-1.9692807391122842</v>
      </c>
      <c r="R71">
        <f t="shared" si="11"/>
        <v>2.0561073377718859</v>
      </c>
      <c r="S71">
        <f t="shared" si="8"/>
        <v>2.9344803676565476</v>
      </c>
      <c r="T71">
        <f t="shared" si="9"/>
        <v>-0.46715156233028465</v>
      </c>
    </row>
    <row r="72" spans="1:20" x14ac:dyDescent="0.25">
      <c r="A72">
        <v>52</v>
      </c>
      <c r="B72">
        <f t="shared" ca="1" si="0"/>
        <v>0.24556041046466326</v>
      </c>
      <c r="C72">
        <f t="shared" ca="1" si="1"/>
        <v>1.0213065931182101</v>
      </c>
      <c r="D72">
        <f t="shared" ca="1" si="2"/>
        <v>-4.3781641212894906E-2</v>
      </c>
      <c r="E72">
        <f t="shared" ca="1" si="3"/>
        <v>1</v>
      </c>
      <c r="F72">
        <f t="shared" ca="1" si="4"/>
        <v>-4.3781641212894906E-2</v>
      </c>
      <c r="G72" t="e">
        <f t="shared" ca="1" si="5"/>
        <v>#N/A</v>
      </c>
      <c r="H72" t="e">
        <f>NA()</f>
        <v>#N/A</v>
      </c>
      <c r="I72" t="e">
        <f>NA()</f>
        <v>#N/A</v>
      </c>
      <c r="J72" t="e">
        <f>NA()</f>
        <v>#N/A</v>
      </c>
      <c r="K72" t="e">
        <f>NA()</f>
        <v>#N/A</v>
      </c>
      <c r="M72">
        <v>47</v>
      </c>
      <c r="N72">
        <f t="shared" si="10"/>
        <v>3.0462403533800217</v>
      </c>
      <c r="O72">
        <f t="shared" si="6"/>
        <v>0.32596696952487425</v>
      </c>
      <c r="P72">
        <f t="shared" si="7"/>
        <v>-1.849087146214885</v>
      </c>
      <c r="R72">
        <f t="shared" si="11"/>
        <v>2.1540172109991182</v>
      </c>
      <c r="S72">
        <f t="shared" si="8"/>
        <v>2.7812844042155729</v>
      </c>
      <c r="T72">
        <f t="shared" si="9"/>
        <v>-0.1964637510166316</v>
      </c>
    </row>
    <row r="73" spans="1:20" x14ac:dyDescent="0.25">
      <c r="A73">
        <v>53</v>
      </c>
      <c r="B73">
        <f t="shared" ca="1" si="0"/>
        <v>0.82691704652396036</v>
      </c>
      <c r="C73">
        <f t="shared" ca="1" si="1"/>
        <v>3.9301409054848109</v>
      </c>
      <c r="D73">
        <f t="shared" ca="1" si="2"/>
        <v>4.7766640512388481</v>
      </c>
      <c r="E73">
        <f t="shared" ca="1" si="3"/>
        <v>2</v>
      </c>
      <c r="F73" t="e">
        <f t="shared" ca="1" si="4"/>
        <v>#N/A</v>
      </c>
      <c r="G73">
        <f t="shared" ca="1" si="5"/>
        <v>4.7766640512388481</v>
      </c>
      <c r="H73" t="e">
        <f>NA()</f>
        <v>#N/A</v>
      </c>
      <c r="I73" t="e">
        <f>NA()</f>
        <v>#N/A</v>
      </c>
      <c r="J73" t="e">
        <f>NA()</f>
        <v>#N/A</v>
      </c>
      <c r="K73" t="e">
        <f>NA()</f>
        <v>#N/A</v>
      </c>
      <c r="M73">
        <v>48</v>
      </c>
      <c r="N73">
        <f t="shared" si="10"/>
        <v>3.1847058239882053</v>
      </c>
      <c r="O73">
        <f t="shared" si="6"/>
        <v>0.10118235469759596</v>
      </c>
      <c r="P73">
        <f t="shared" si="7"/>
        <v>-1.6935352666916987</v>
      </c>
      <c r="R73">
        <f t="shared" si="11"/>
        <v>2.2519270842263506</v>
      </c>
      <c r="S73">
        <f t="shared" si="8"/>
        <v>2.5796813358615807</v>
      </c>
      <c r="T73">
        <f t="shared" si="9"/>
        <v>0.12263116521003958</v>
      </c>
    </row>
    <row r="74" spans="1:20" x14ac:dyDescent="0.25">
      <c r="A74">
        <v>54</v>
      </c>
      <c r="B74">
        <f t="shared" ca="1" si="0"/>
        <v>0.61928312302416388</v>
      </c>
      <c r="C74">
        <f t="shared" ca="1" si="1"/>
        <v>4.9510889912519138</v>
      </c>
      <c r="D74">
        <f t="shared" ca="1" si="2"/>
        <v>6.1331769532499552</v>
      </c>
      <c r="E74">
        <f t="shared" ca="1" si="3"/>
        <v>2</v>
      </c>
      <c r="F74" t="e">
        <f t="shared" ca="1" si="4"/>
        <v>#N/A</v>
      </c>
      <c r="G74">
        <f t="shared" ca="1" si="5"/>
        <v>6.1331769532499552</v>
      </c>
      <c r="H74" t="e">
        <f>NA()</f>
        <v>#N/A</v>
      </c>
      <c r="I74" t="e">
        <f>NA()</f>
        <v>#N/A</v>
      </c>
      <c r="J74" t="e">
        <f>NA()</f>
        <v>#N/A</v>
      </c>
      <c r="K74" t="e">
        <f>NA()</f>
        <v>#N/A</v>
      </c>
      <c r="M74">
        <v>49</v>
      </c>
      <c r="N74">
        <f t="shared" si="10"/>
        <v>3.323171294596388</v>
      </c>
      <c r="O74">
        <f t="shared" si="6"/>
        <v>-0.18968872295124106</v>
      </c>
      <c r="P74">
        <f t="shared" si="7"/>
        <v>-1.4718969243469529</v>
      </c>
      <c r="R74">
        <f t="shared" si="11"/>
        <v>2.3498369574535838</v>
      </c>
      <c r="S74">
        <f t="shared" si="8"/>
        <v>2.2876028897555285</v>
      </c>
      <c r="T74">
        <f t="shared" si="9"/>
        <v>0.53220145918877171</v>
      </c>
    </row>
    <row r="75" spans="1:20" x14ac:dyDescent="0.25">
      <c r="A75">
        <v>55</v>
      </c>
      <c r="B75">
        <f t="shared" ca="1" si="0"/>
        <v>0.53742841124828888</v>
      </c>
      <c r="C75">
        <f t="shared" ca="1" si="1"/>
        <v>-0.36732403248139234</v>
      </c>
      <c r="D75">
        <f t="shared" ca="1" si="2"/>
        <v>0.41289902818007074</v>
      </c>
      <c r="E75">
        <f t="shared" ca="1" si="3"/>
        <v>1</v>
      </c>
      <c r="F75">
        <f t="shared" ca="1" si="4"/>
        <v>0.41289902818007074</v>
      </c>
      <c r="G75" t="e">
        <f t="shared" ca="1" si="5"/>
        <v>#N/A</v>
      </c>
      <c r="H75" t="e">
        <f>NA()</f>
        <v>#N/A</v>
      </c>
      <c r="I75" t="e">
        <f>NA()</f>
        <v>#N/A</v>
      </c>
      <c r="J75" t="e">
        <f>NA()</f>
        <v>#N/A</v>
      </c>
      <c r="K75" t="e">
        <f>NA()</f>
        <v>#N/A</v>
      </c>
      <c r="M75">
        <v>50</v>
      </c>
      <c r="N75">
        <f t="shared" si="10"/>
        <v>3.4616367652045716</v>
      </c>
      <c r="O75">
        <f t="shared" si="6"/>
        <v>-0.8654091355461031</v>
      </c>
      <c r="P75">
        <f t="shared" si="7"/>
        <v>-0.86540924705618272</v>
      </c>
      <c r="R75">
        <f t="shared" si="11"/>
        <v>2.4477468306808161</v>
      </c>
      <c r="S75">
        <f t="shared" si="8"/>
        <v>1.4686481365740838</v>
      </c>
      <c r="T75">
        <f t="shared" si="9"/>
        <v>1.4686480602428948</v>
      </c>
    </row>
    <row r="76" spans="1:20" x14ac:dyDescent="0.25">
      <c r="A76">
        <v>56</v>
      </c>
      <c r="B76">
        <f t="shared" ca="1" si="0"/>
        <v>0.29322297871956482</v>
      </c>
      <c r="C76">
        <f t="shared" ca="1" si="1"/>
        <v>0.4457258867229475</v>
      </c>
      <c r="D76">
        <f t="shared" ca="1" si="2"/>
        <v>8.923296071053953E-2</v>
      </c>
      <c r="E76">
        <f t="shared" ca="1" si="3"/>
        <v>1</v>
      </c>
      <c r="F76">
        <f t="shared" ca="1" si="4"/>
        <v>8.923296071053953E-2</v>
      </c>
      <c r="G76" t="e">
        <f t="shared" ca="1" si="5"/>
        <v>#N/A</v>
      </c>
      <c r="H76" t="e">
        <f>NA()</f>
        <v>#N/A</v>
      </c>
      <c r="I76" t="e">
        <f>NA()</f>
        <v>#N/A</v>
      </c>
      <c r="J76" t="e">
        <f>NA()</f>
        <v>#N/A</v>
      </c>
      <c r="K76" t="e">
        <f>NA()</f>
        <v>#N/A</v>
      </c>
    </row>
    <row r="77" spans="1:20" x14ac:dyDescent="0.25">
      <c r="A77">
        <v>57</v>
      </c>
      <c r="B77">
        <f t="shared" ca="1" si="0"/>
        <v>0.40685648745998193</v>
      </c>
      <c r="C77">
        <f t="shared" ca="1" si="1"/>
        <v>-0.55964932491555897</v>
      </c>
      <c r="D77">
        <f t="shared" ca="1" si="2"/>
        <v>-0.99111348373065411</v>
      </c>
      <c r="E77">
        <f t="shared" ca="1" si="3"/>
        <v>1</v>
      </c>
      <c r="F77">
        <f t="shared" ca="1" si="4"/>
        <v>-0.99111348373065411</v>
      </c>
      <c r="G77" t="e">
        <f t="shared" ca="1" si="5"/>
        <v>#N/A</v>
      </c>
      <c r="H77" t="e">
        <f>NA()</f>
        <v>#N/A</v>
      </c>
      <c r="I77" t="e">
        <f>NA()</f>
        <v>#N/A</v>
      </c>
      <c r="J77" t="e">
        <f>NA()</f>
        <v>#N/A</v>
      </c>
      <c r="K77" t="e">
        <f>NA()</f>
        <v>#N/A</v>
      </c>
    </row>
    <row r="78" spans="1:20" x14ac:dyDescent="0.25">
      <c r="A78">
        <v>58</v>
      </c>
      <c r="B78">
        <f t="shared" ca="1" si="0"/>
        <v>0.10138494444549451</v>
      </c>
      <c r="C78">
        <f t="shared" ca="1" si="1"/>
        <v>-1.0201682172990389</v>
      </c>
      <c r="D78">
        <f t="shared" ca="1" si="2"/>
        <v>0.44684114408940578</v>
      </c>
      <c r="E78">
        <f t="shared" ca="1" si="3"/>
        <v>1</v>
      </c>
      <c r="F78">
        <f t="shared" ca="1" si="4"/>
        <v>0.44684114408940578</v>
      </c>
      <c r="G78" t="e">
        <f t="shared" ca="1" si="5"/>
        <v>#N/A</v>
      </c>
      <c r="H78" t="e">
        <f>NA()</f>
        <v>#N/A</v>
      </c>
      <c r="I78" t="e">
        <f>NA()</f>
        <v>#N/A</v>
      </c>
      <c r="J78" t="e">
        <f>NA()</f>
        <v>#N/A</v>
      </c>
      <c r="K78" t="e">
        <f>NA()</f>
        <v>#N/A</v>
      </c>
    </row>
    <row r="79" spans="1:20" x14ac:dyDescent="0.25">
      <c r="A79">
        <v>59</v>
      </c>
      <c r="B79">
        <f t="shared" ca="1" si="0"/>
        <v>0.87479516142927527</v>
      </c>
      <c r="C79">
        <f t="shared" ca="1" si="1"/>
        <v>3.5100407190048366</v>
      </c>
      <c r="D79">
        <f t="shared" ca="1" si="2"/>
        <v>2.8830059806354233</v>
      </c>
      <c r="E79">
        <f t="shared" ca="1" si="3"/>
        <v>2</v>
      </c>
      <c r="F79" t="e">
        <f t="shared" ca="1" si="4"/>
        <v>#N/A</v>
      </c>
      <c r="G79">
        <f t="shared" ca="1" si="5"/>
        <v>2.8830059806354233</v>
      </c>
      <c r="H79" t="e">
        <f>NA()</f>
        <v>#N/A</v>
      </c>
      <c r="I79" t="e">
        <f>NA()</f>
        <v>#N/A</v>
      </c>
      <c r="J79" t="e">
        <f>NA()</f>
        <v>#N/A</v>
      </c>
      <c r="K79" t="e">
        <f>NA()</f>
        <v>#N/A</v>
      </c>
    </row>
    <row r="80" spans="1:20" x14ac:dyDescent="0.25">
      <c r="A80">
        <v>60</v>
      </c>
      <c r="B80">
        <f t="shared" ca="1" si="0"/>
        <v>0.38888433644680187</v>
      </c>
      <c r="C80">
        <f t="shared" ca="1" si="1"/>
        <v>1.3614527248869044</v>
      </c>
      <c r="D80">
        <f t="shared" ca="1" si="2"/>
        <v>0.11329177684960107</v>
      </c>
      <c r="E80">
        <f t="shared" ca="1" si="3"/>
        <v>1</v>
      </c>
      <c r="F80">
        <f t="shared" ca="1" si="4"/>
        <v>0.11329177684960107</v>
      </c>
      <c r="G80" t="e">
        <f t="shared" ca="1" si="5"/>
        <v>#N/A</v>
      </c>
      <c r="H80" t="e">
        <f>NA()</f>
        <v>#N/A</v>
      </c>
      <c r="I80" t="e">
        <f>NA()</f>
        <v>#N/A</v>
      </c>
      <c r="J80" t="e">
        <f>NA()</f>
        <v>#N/A</v>
      </c>
      <c r="K80" t="e">
        <f>NA()</f>
        <v>#N/A</v>
      </c>
    </row>
    <row r="81" spans="1:11" x14ac:dyDescent="0.25">
      <c r="A81">
        <v>61</v>
      </c>
      <c r="B81">
        <f t="shared" ca="1" si="0"/>
        <v>0.18723707150535529</v>
      </c>
      <c r="C81">
        <f t="shared" ca="1" si="1"/>
        <v>-0.59891529283364242</v>
      </c>
      <c r="D81">
        <f t="shared" ca="1" si="2"/>
        <v>1.6283394215218168</v>
      </c>
      <c r="E81">
        <f t="shared" ca="1" si="3"/>
        <v>1</v>
      </c>
      <c r="F81">
        <f t="shared" ca="1" si="4"/>
        <v>1.6283394215218168</v>
      </c>
      <c r="G81" t="e">
        <f t="shared" ca="1" si="5"/>
        <v>#N/A</v>
      </c>
      <c r="H81" t="e">
        <f>NA()</f>
        <v>#N/A</v>
      </c>
      <c r="I81" t="e">
        <f>NA()</f>
        <v>#N/A</v>
      </c>
      <c r="J81" t="e">
        <f>NA()</f>
        <v>#N/A</v>
      </c>
      <c r="K81" t="e">
        <f>NA()</f>
        <v>#N/A</v>
      </c>
    </row>
    <row r="82" spans="1:11" x14ac:dyDescent="0.25">
      <c r="A82">
        <v>62</v>
      </c>
      <c r="B82">
        <f t="shared" ca="1" si="0"/>
        <v>0.97514423729337396</v>
      </c>
      <c r="C82">
        <f t="shared" ca="1" si="1"/>
        <v>5.9120690826819189</v>
      </c>
      <c r="D82">
        <f t="shared" ca="1" si="2"/>
        <v>6.7823012930718054</v>
      </c>
      <c r="E82">
        <f t="shared" ca="1" si="3"/>
        <v>2</v>
      </c>
      <c r="F82" t="e">
        <f t="shared" ca="1" si="4"/>
        <v>#N/A</v>
      </c>
      <c r="G82">
        <f t="shared" ca="1" si="5"/>
        <v>6.7823012930718054</v>
      </c>
      <c r="H82" t="e">
        <f>NA()</f>
        <v>#N/A</v>
      </c>
      <c r="I82" t="e">
        <f>NA()</f>
        <v>#N/A</v>
      </c>
      <c r="J82" t="e">
        <f>NA()</f>
        <v>#N/A</v>
      </c>
      <c r="K82" t="e">
        <f>NA()</f>
        <v>#N/A</v>
      </c>
    </row>
    <row r="83" spans="1:11" x14ac:dyDescent="0.25">
      <c r="A83">
        <v>63</v>
      </c>
      <c r="B83">
        <f t="shared" ca="1" si="0"/>
        <v>0.28045172895624593</v>
      </c>
      <c r="C83">
        <f t="shared" ca="1" si="1"/>
        <v>0.22127109717878579</v>
      </c>
      <c r="D83">
        <f t="shared" ca="1" si="2"/>
        <v>0.80587890455180211</v>
      </c>
      <c r="E83">
        <f t="shared" ca="1" si="3"/>
        <v>1</v>
      </c>
      <c r="F83">
        <f t="shared" ca="1" si="4"/>
        <v>0.80587890455180211</v>
      </c>
      <c r="G83" t="e">
        <f t="shared" ca="1" si="5"/>
        <v>#N/A</v>
      </c>
      <c r="H83" t="e">
        <f>NA()</f>
        <v>#N/A</v>
      </c>
      <c r="I83" t="e">
        <f>NA()</f>
        <v>#N/A</v>
      </c>
      <c r="J83" t="e">
        <f>NA()</f>
        <v>#N/A</v>
      </c>
      <c r="K83" t="e">
        <f>NA()</f>
        <v>#N/A</v>
      </c>
    </row>
    <row r="84" spans="1:11" x14ac:dyDescent="0.25">
      <c r="A84">
        <v>64</v>
      </c>
      <c r="B84">
        <f t="shared" ca="1" si="0"/>
        <v>0.7429995651347302</v>
      </c>
      <c r="C84">
        <f t="shared" ca="1" si="1"/>
        <v>4.1715147059341415</v>
      </c>
      <c r="D84">
        <f t="shared" ca="1" si="2"/>
        <v>1.5333432211195839</v>
      </c>
      <c r="E84">
        <f t="shared" ca="1" si="3"/>
        <v>2</v>
      </c>
      <c r="F84" t="e">
        <f t="shared" ca="1" si="4"/>
        <v>#N/A</v>
      </c>
      <c r="G84">
        <f t="shared" ca="1" si="5"/>
        <v>1.5333432211195839</v>
      </c>
      <c r="H84" t="e">
        <f>NA()</f>
        <v>#N/A</v>
      </c>
      <c r="I84" t="e">
        <f>NA()</f>
        <v>#N/A</v>
      </c>
      <c r="J84" t="e">
        <f>NA()</f>
        <v>#N/A</v>
      </c>
      <c r="K84" t="e">
        <f>NA()</f>
        <v>#N/A</v>
      </c>
    </row>
    <row r="85" spans="1:11" x14ac:dyDescent="0.25">
      <c r="A85">
        <v>65</v>
      </c>
      <c r="B85">
        <f t="shared" ref="B85:B148" ca="1" si="12">RAND()</f>
        <v>0.82426664121706483</v>
      </c>
      <c r="C85">
        <f t="shared" ref="C85:C148" ca="1" si="13">IF(E85=1,_xlfn.NORM.INV(RAND(),$D$4,$G$4),_xlfn.NORM.INV(RAND(),$D$14,$G$14))</f>
        <v>3.3106107239140123</v>
      </c>
      <c r="D85">
        <f t="shared" ref="D85:D148" ca="1" si="14">IF(E85=1,_xlfn.NORM.INV(RAND(),$D$5-$L$4/$K$4*(C85-$D$4),SQRT(1/(2*$K$4))),_xlfn.NORM.INV(RAND(),$D$15-$L$14/$K$14*(C85-$D$14),SQRT(1/(2*$K$14))))</f>
        <v>3.7479071017940528</v>
      </c>
      <c r="E85">
        <f t="shared" ref="E85:E148" ca="1" si="15">IF(B85&lt;$H$1,1,2)</f>
        <v>2</v>
      </c>
      <c r="F85" t="e">
        <f t="shared" ca="1" si="4"/>
        <v>#N/A</v>
      </c>
      <c r="G85">
        <f t="shared" ca="1" si="5"/>
        <v>3.7479071017940528</v>
      </c>
      <c r="H85" t="e">
        <f>NA()</f>
        <v>#N/A</v>
      </c>
      <c r="I85" t="e">
        <f>NA()</f>
        <v>#N/A</v>
      </c>
      <c r="J85" t="e">
        <f>NA()</f>
        <v>#N/A</v>
      </c>
      <c r="K85" t="e">
        <f>NA()</f>
        <v>#N/A</v>
      </c>
    </row>
    <row r="86" spans="1:11" x14ac:dyDescent="0.25">
      <c r="A86">
        <v>66</v>
      </c>
      <c r="B86">
        <f t="shared" ca="1" si="12"/>
        <v>0.14779565912782788</v>
      </c>
      <c r="C86">
        <f t="shared" ca="1" si="13"/>
        <v>-0.28871106262617879</v>
      </c>
      <c r="D86">
        <f t="shared" ca="1" si="14"/>
        <v>-0.59983581784299023</v>
      </c>
      <c r="E86">
        <f t="shared" ca="1" si="15"/>
        <v>1</v>
      </c>
      <c r="F86">
        <f t="shared" ref="F86:F149" ca="1" si="16">IF($E86=1,D86,NA())</f>
        <v>-0.59983581784299023</v>
      </c>
      <c r="G86" t="e">
        <f t="shared" ref="G86:G149" ca="1" si="17">IF($E86=2,D86,NA())</f>
        <v>#N/A</v>
      </c>
      <c r="H86" t="e">
        <f>NA()</f>
        <v>#N/A</v>
      </c>
      <c r="I86" t="e">
        <f>NA()</f>
        <v>#N/A</v>
      </c>
      <c r="J86" t="e">
        <f>NA()</f>
        <v>#N/A</v>
      </c>
      <c r="K86" t="e">
        <f>NA()</f>
        <v>#N/A</v>
      </c>
    </row>
    <row r="87" spans="1:11" x14ac:dyDescent="0.25">
      <c r="A87">
        <v>67</v>
      </c>
      <c r="B87">
        <f t="shared" ca="1" si="12"/>
        <v>0.33306984458936151</v>
      </c>
      <c r="C87">
        <f t="shared" ca="1" si="13"/>
        <v>-2.1343432574844834</v>
      </c>
      <c r="D87">
        <f t="shared" ca="1" si="14"/>
        <v>0.5972497232443128</v>
      </c>
      <c r="E87">
        <f t="shared" ca="1" si="15"/>
        <v>1</v>
      </c>
      <c r="F87">
        <f t="shared" ca="1" si="16"/>
        <v>0.5972497232443128</v>
      </c>
      <c r="G87" t="e">
        <f t="shared" ca="1" si="17"/>
        <v>#N/A</v>
      </c>
      <c r="H87" t="e">
        <f>NA()</f>
        <v>#N/A</v>
      </c>
      <c r="I87" t="e">
        <f>NA()</f>
        <v>#N/A</v>
      </c>
      <c r="J87" t="e">
        <f>NA()</f>
        <v>#N/A</v>
      </c>
      <c r="K87" t="e">
        <f>NA()</f>
        <v>#N/A</v>
      </c>
    </row>
    <row r="88" spans="1:11" x14ac:dyDescent="0.25">
      <c r="A88">
        <v>68</v>
      </c>
      <c r="B88">
        <f t="shared" ca="1" si="12"/>
        <v>0.38052185958813078</v>
      </c>
      <c r="C88">
        <f t="shared" ca="1" si="13"/>
        <v>0.14201055694206449</v>
      </c>
      <c r="D88">
        <f t="shared" ca="1" si="14"/>
        <v>-1.3631080329101725E-2</v>
      </c>
      <c r="E88">
        <f t="shared" ca="1" si="15"/>
        <v>1</v>
      </c>
      <c r="F88">
        <f t="shared" ca="1" si="16"/>
        <v>-1.3631080329101725E-2</v>
      </c>
      <c r="G88" t="e">
        <f t="shared" ca="1" si="17"/>
        <v>#N/A</v>
      </c>
      <c r="H88" t="e">
        <f>NA()</f>
        <v>#N/A</v>
      </c>
      <c r="I88" t="e">
        <f>NA()</f>
        <v>#N/A</v>
      </c>
      <c r="J88" t="e">
        <f>NA()</f>
        <v>#N/A</v>
      </c>
      <c r="K88" t="e">
        <f>NA()</f>
        <v>#N/A</v>
      </c>
    </row>
    <row r="89" spans="1:11" x14ac:dyDescent="0.25">
      <c r="A89">
        <v>69</v>
      </c>
      <c r="B89">
        <f t="shared" ca="1" si="12"/>
        <v>0.34574327452540987</v>
      </c>
      <c r="C89">
        <f t="shared" ca="1" si="13"/>
        <v>0.37144709870516529</v>
      </c>
      <c r="D89">
        <f t="shared" ca="1" si="14"/>
        <v>-0.30600103158439013</v>
      </c>
      <c r="E89">
        <f t="shared" ca="1" si="15"/>
        <v>1</v>
      </c>
      <c r="F89">
        <f t="shared" ca="1" si="16"/>
        <v>-0.30600103158439013</v>
      </c>
      <c r="G89" t="e">
        <f t="shared" ca="1" si="17"/>
        <v>#N/A</v>
      </c>
      <c r="H89" t="e">
        <f>NA()</f>
        <v>#N/A</v>
      </c>
      <c r="I89" t="e">
        <f>NA()</f>
        <v>#N/A</v>
      </c>
      <c r="J89" t="e">
        <f>NA()</f>
        <v>#N/A</v>
      </c>
      <c r="K89" t="e">
        <f>NA()</f>
        <v>#N/A</v>
      </c>
    </row>
    <row r="90" spans="1:11" x14ac:dyDescent="0.25">
      <c r="A90">
        <v>70</v>
      </c>
      <c r="B90">
        <f t="shared" ca="1" si="12"/>
        <v>0.19410728031013214</v>
      </c>
      <c r="C90">
        <f t="shared" ca="1" si="13"/>
        <v>-0.44318579492173782</v>
      </c>
      <c r="D90">
        <f t="shared" ca="1" si="14"/>
        <v>-8.2112417581040459E-2</v>
      </c>
      <c r="E90">
        <f t="shared" ca="1" si="15"/>
        <v>1</v>
      </c>
      <c r="F90">
        <f t="shared" ca="1" si="16"/>
        <v>-8.2112417581040459E-2</v>
      </c>
      <c r="G90" t="e">
        <f t="shared" ca="1" si="17"/>
        <v>#N/A</v>
      </c>
      <c r="H90" t="e">
        <f>NA()</f>
        <v>#N/A</v>
      </c>
      <c r="I90" t="e">
        <f>NA()</f>
        <v>#N/A</v>
      </c>
      <c r="J90" t="e">
        <f>NA()</f>
        <v>#N/A</v>
      </c>
      <c r="K90" t="e">
        <f>NA()</f>
        <v>#N/A</v>
      </c>
    </row>
    <row r="91" spans="1:11" x14ac:dyDescent="0.25">
      <c r="A91">
        <v>71</v>
      </c>
      <c r="B91">
        <f t="shared" ca="1" si="12"/>
        <v>0.71410634882940405</v>
      </c>
      <c r="C91">
        <f t="shared" ca="1" si="13"/>
        <v>4.8876143904644413</v>
      </c>
      <c r="D91">
        <f t="shared" ca="1" si="14"/>
        <v>4.7550497626000876</v>
      </c>
      <c r="E91">
        <f t="shared" ca="1" si="15"/>
        <v>2</v>
      </c>
      <c r="F91" t="e">
        <f t="shared" ca="1" si="16"/>
        <v>#N/A</v>
      </c>
      <c r="G91">
        <f t="shared" ca="1" si="17"/>
        <v>4.7550497626000876</v>
      </c>
      <c r="H91" t="e">
        <f>NA()</f>
        <v>#N/A</v>
      </c>
      <c r="I91" t="e">
        <f>NA()</f>
        <v>#N/A</v>
      </c>
      <c r="J91" t="e">
        <f>NA()</f>
        <v>#N/A</v>
      </c>
      <c r="K91" t="e">
        <f>NA()</f>
        <v>#N/A</v>
      </c>
    </row>
    <row r="92" spans="1:11" x14ac:dyDescent="0.25">
      <c r="A92">
        <v>72</v>
      </c>
      <c r="B92">
        <f t="shared" ca="1" si="12"/>
        <v>0.96375721825110194</v>
      </c>
      <c r="C92">
        <f t="shared" ca="1" si="13"/>
        <v>4.1713064890596883</v>
      </c>
      <c r="D92">
        <f t="shared" ca="1" si="14"/>
        <v>1.9903505161376875</v>
      </c>
      <c r="E92">
        <f t="shared" ca="1" si="15"/>
        <v>2</v>
      </c>
      <c r="F92" t="e">
        <f t="shared" ca="1" si="16"/>
        <v>#N/A</v>
      </c>
      <c r="G92">
        <f t="shared" ca="1" si="17"/>
        <v>1.9903505161376875</v>
      </c>
      <c r="H92" t="e">
        <f>NA()</f>
        <v>#N/A</v>
      </c>
      <c r="I92" t="e">
        <f>NA()</f>
        <v>#N/A</v>
      </c>
      <c r="J92" t="e">
        <f>NA()</f>
        <v>#N/A</v>
      </c>
      <c r="K92" t="e">
        <f>NA()</f>
        <v>#N/A</v>
      </c>
    </row>
    <row r="93" spans="1:11" x14ac:dyDescent="0.25">
      <c r="A93">
        <v>73</v>
      </c>
      <c r="B93">
        <f t="shared" ca="1" si="12"/>
        <v>0.74784315066578089</v>
      </c>
      <c r="C93">
        <f t="shared" ca="1" si="13"/>
        <v>3.0814492820305137</v>
      </c>
      <c r="D93">
        <f t="shared" ca="1" si="14"/>
        <v>3.3625703130538813</v>
      </c>
      <c r="E93">
        <f t="shared" ca="1" si="15"/>
        <v>2</v>
      </c>
      <c r="F93" t="e">
        <f t="shared" ca="1" si="16"/>
        <v>#N/A</v>
      </c>
      <c r="G93">
        <f t="shared" ca="1" si="17"/>
        <v>3.3625703130538813</v>
      </c>
      <c r="H93" t="e">
        <f>NA()</f>
        <v>#N/A</v>
      </c>
      <c r="I93" t="e">
        <f>NA()</f>
        <v>#N/A</v>
      </c>
      <c r="J93" t="e">
        <f>NA()</f>
        <v>#N/A</v>
      </c>
      <c r="K93" t="e">
        <f>NA()</f>
        <v>#N/A</v>
      </c>
    </row>
    <row r="94" spans="1:11" x14ac:dyDescent="0.25">
      <c r="A94">
        <v>74</v>
      </c>
      <c r="B94">
        <f t="shared" ca="1" si="12"/>
        <v>0.53608208622388187</v>
      </c>
      <c r="C94">
        <f t="shared" ca="1" si="13"/>
        <v>-0.57042673204354366</v>
      </c>
      <c r="D94">
        <f t="shared" ca="1" si="14"/>
        <v>0.7756315983127231</v>
      </c>
      <c r="E94">
        <f t="shared" ca="1" si="15"/>
        <v>1</v>
      </c>
      <c r="F94">
        <f t="shared" ca="1" si="16"/>
        <v>0.7756315983127231</v>
      </c>
      <c r="G94" t="e">
        <f t="shared" ca="1" si="17"/>
        <v>#N/A</v>
      </c>
      <c r="H94" t="e">
        <f>NA()</f>
        <v>#N/A</v>
      </c>
      <c r="I94" t="e">
        <f>NA()</f>
        <v>#N/A</v>
      </c>
      <c r="J94" t="e">
        <f>NA()</f>
        <v>#N/A</v>
      </c>
      <c r="K94" t="e">
        <f>NA()</f>
        <v>#N/A</v>
      </c>
    </row>
    <row r="95" spans="1:11" x14ac:dyDescent="0.25">
      <c r="A95">
        <v>75</v>
      </c>
      <c r="B95">
        <f t="shared" ca="1" si="12"/>
        <v>0.46495524584947945</v>
      </c>
      <c r="C95">
        <f t="shared" ca="1" si="13"/>
        <v>-0.88886142354828301</v>
      </c>
      <c r="D95">
        <f t="shared" ca="1" si="14"/>
        <v>0.72911493730221333</v>
      </c>
      <c r="E95">
        <f t="shared" ca="1" si="15"/>
        <v>1</v>
      </c>
      <c r="F95">
        <f t="shared" ca="1" si="16"/>
        <v>0.72911493730221333</v>
      </c>
      <c r="G95" t="e">
        <f t="shared" ca="1" si="17"/>
        <v>#N/A</v>
      </c>
      <c r="H95" t="e">
        <f>NA()</f>
        <v>#N/A</v>
      </c>
      <c r="I95" t="e">
        <f>NA()</f>
        <v>#N/A</v>
      </c>
      <c r="J95" t="e">
        <f>NA()</f>
        <v>#N/A</v>
      </c>
      <c r="K95" t="e">
        <f>NA()</f>
        <v>#N/A</v>
      </c>
    </row>
    <row r="96" spans="1:11" x14ac:dyDescent="0.25">
      <c r="A96">
        <v>76</v>
      </c>
      <c r="B96">
        <f t="shared" ca="1" si="12"/>
        <v>1.0040697591539582E-2</v>
      </c>
      <c r="C96">
        <f t="shared" ca="1" si="13"/>
        <v>-1.1555559473347294</v>
      </c>
      <c r="D96">
        <f t="shared" ca="1" si="14"/>
        <v>1.4675663505503158</v>
      </c>
      <c r="E96">
        <f t="shared" ca="1" si="15"/>
        <v>1</v>
      </c>
      <c r="F96">
        <f t="shared" ca="1" si="16"/>
        <v>1.4675663505503158</v>
      </c>
      <c r="G96" t="e">
        <f t="shared" ca="1" si="17"/>
        <v>#N/A</v>
      </c>
      <c r="H96" t="e">
        <f>NA()</f>
        <v>#N/A</v>
      </c>
      <c r="I96" t="e">
        <f>NA()</f>
        <v>#N/A</v>
      </c>
      <c r="J96" t="e">
        <f>NA()</f>
        <v>#N/A</v>
      </c>
      <c r="K96" t="e">
        <f>NA()</f>
        <v>#N/A</v>
      </c>
    </row>
    <row r="97" spans="1:11" x14ac:dyDescent="0.25">
      <c r="A97">
        <v>77</v>
      </c>
      <c r="B97">
        <f t="shared" ca="1" si="12"/>
        <v>0.7839347512347421</v>
      </c>
      <c r="C97">
        <f t="shared" ca="1" si="13"/>
        <v>4.2349234216038658</v>
      </c>
      <c r="D97">
        <f t="shared" ca="1" si="14"/>
        <v>2.5973927306807734</v>
      </c>
      <c r="E97">
        <f t="shared" ca="1" si="15"/>
        <v>2</v>
      </c>
      <c r="F97" t="e">
        <f t="shared" ca="1" si="16"/>
        <v>#N/A</v>
      </c>
      <c r="G97">
        <f t="shared" ca="1" si="17"/>
        <v>2.5973927306807734</v>
      </c>
      <c r="H97" t="e">
        <f>NA()</f>
        <v>#N/A</v>
      </c>
      <c r="I97" t="e">
        <f>NA()</f>
        <v>#N/A</v>
      </c>
      <c r="J97" t="e">
        <f>NA()</f>
        <v>#N/A</v>
      </c>
      <c r="K97" t="e">
        <f>NA()</f>
        <v>#N/A</v>
      </c>
    </row>
    <row r="98" spans="1:11" x14ac:dyDescent="0.25">
      <c r="A98">
        <v>78</v>
      </c>
      <c r="B98">
        <f t="shared" ca="1" si="12"/>
        <v>0.71345848602120177</v>
      </c>
      <c r="C98">
        <f t="shared" ca="1" si="13"/>
        <v>3.7197040972061362</v>
      </c>
      <c r="D98">
        <f t="shared" ca="1" si="14"/>
        <v>6.2666987934757064</v>
      </c>
      <c r="E98">
        <f t="shared" ca="1" si="15"/>
        <v>2</v>
      </c>
      <c r="F98" t="e">
        <f t="shared" ca="1" si="16"/>
        <v>#N/A</v>
      </c>
      <c r="G98">
        <f t="shared" ca="1" si="17"/>
        <v>6.2666987934757064</v>
      </c>
      <c r="H98" t="e">
        <f>NA()</f>
        <v>#N/A</v>
      </c>
      <c r="I98" t="e">
        <f>NA()</f>
        <v>#N/A</v>
      </c>
      <c r="J98" t="e">
        <f>NA()</f>
        <v>#N/A</v>
      </c>
      <c r="K98" t="e">
        <f>NA()</f>
        <v>#N/A</v>
      </c>
    </row>
    <row r="99" spans="1:11" x14ac:dyDescent="0.25">
      <c r="A99">
        <v>79</v>
      </c>
      <c r="B99">
        <f t="shared" ca="1" si="12"/>
        <v>0.48635485566864567</v>
      </c>
      <c r="C99">
        <f t="shared" ca="1" si="13"/>
        <v>1.4042502280079001</v>
      </c>
      <c r="D99">
        <f t="shared" ca="1" si="14"/>
        <v>1.8075723459317197</v>
      </c>
      <c r="E99">
        <f t="shared" ca="1" si="15"/>
        <v>1</v>
      </c>
      <c r="F99">
        <f t="shared" ca="1" si="16"/>
        <v>1.8075723459317197</v>
      </c>
      <c r="G99" t="e">
        <f t="shared" ca="1" si="17"/>
        <v>#N/A</v>
      </c>
      <c r="H99" t="e">
        <f>NA()</f>
        <v>#N/A</v>
      </c>
      <c r="I99" t="e">
        <f>NA()</f>
        <v>#N/A</v>
      </c>
      <c r="J99" t="e">
        <f>NA()</f>
        <v>#N/A</v>
      </c>
      <c r="K99" t="e">
        <f>NA()</f>
        <v>#N/A</v>
      </c>
    </row>
    <row r="100" spans="1:11" x14ac:dyDescent="0.25">
      <c r="A100">
        <v>80</v>
      </c>
      <c r="B100">
        <f t="shared" ca="1" si="12"/>
        <v>0.86311208158087538</v>
      </c>
      <c r="C100">
        <f t="shared" ca="1" si="13"/>
        <v>2.7793878146401294</v>
      </c>
      <c r="D100">
        <f t="shared" ca="1" si="14"/>
        <v>2.7661181993242474</v>
      </c>
      <c r="E100">
        <f t="shared" ca="1" si="15"/>
        <v>2</v>
      </c>
      <c r="F100" t="e">
        <f t="shared" ca="1" si="16"/>
        <v>#N/A</v>
      </c>
      <c r="G100">
        <f t="shared" ca="1" si="17"/>
        <v>2.7661181993242474</v>
      </c>
      <c r="H100" t="e">
        <f>NA()</f>
        <v>#N/A</v>
      </c>
      <c r="I100" t="e">
        <f>NA()</f>
        <v>#N/A</v>
      </c>
      <c r="J100" t="e">
        <f>NA()</f>
        <v>#N/A</v>
      </c>
      <c r="K100" t="e">
        <f>NA()</f>
        <v>#N/A</v>
      </c>
    </row>
    <row r="101" spans="1:11" x14ac:dyDescent="0.25">
      <c r="A101">
        <v>81</v>
      </c>
      <c r="B101">
        <f t="shared" ca="1" si="12"/>
        <v>0.23192566241131907</v>
      </c>
      <c r="C101">
        <f t="shared" ca="1" si="13"/>
        <v>-1.7063278638967669</v>
      </c>
      <c r="D101">
        <f t="shared" ca="1" si="14"/>
        <v>2.3999121338791638</v>
      </c>
      <c r="E101">
        <f t="shared" ca="1" si="15"/>
        <v>1</v>
      </c>
      <c r="F101">
        <f t="shared" ca="1" si="16"/>
        <v>2.3999121338791638</v>
      </c>
      <c r="G101" t="e">
        <f t="shared" ca="1" si="17"/>
        <v>#N/A</v>
      </c>
      <c r="H101" t="e">
        <f>NA()</f>
        <v>#N/A</v>
      </c>
      <c r="I101" t="e">
        <f>NA()</f>
        <v>#N/A</v>
      </c>
      <c r="J101" t="e">
        <f>NA()</f>
        <v>#N/A</v>
      </c>
      <c r="K101" t="e">
        <f>NA()</f>
        <v>#N/A</v>
      </c>
    </row>
    <row r="102" spans="1:11" x14ac:dyDescent="0.25">
      <c r="A102">
        <v>82</v>
      </c>
      <c r="B102">
        <f t="shared" ca="1" si="12"/>
        <v>0.35102053396128863</v>
      </c>
      <c r="C102">
        <f t="shared" ca="1" si="13"/>
        <v>1.3727385994968342</v>
      </c>
      <c r="D102">
        <f t="shared" ca="1" si="14"/>
        <v>-1.1078646130491172</v>
      </c>
      <c r="E102">
        <f t="shared" ca="1" si="15"/>
        <v>1</v>
      </c>
      <c r="F102">
        <f t="shared" ca="1" si="16"/>
        <v>-1.1078646130491172</v>
      </c>
      <c r="G102" t="e">
        <f t="shared" ca="1" si="17"/>
        <v>#N/A</v>
      </c>
      <c r="H102" t="e">
        <f>NA()</f>
        <v>#N/A</v>
      </c>
      <c r="I102" t="e">
        <f>NA()</f>
        <v>#N/A</v>
      </c>
      <c r="J102" t="e">
        <f>NA()</f>
        <v>#N/A</v>
      </c>
      <c r="K102" t="e">
        <f>NA()</f>
        <v>#N/A</v>
      </c>
    </row>
    <row r="103" spans="1:11" x14ac:dyDescent="0.25">
      <c r="A103">
        <v>83</v>
      </c>
      <c r="B103">
        <f t="shared" ca="1" si="12"/>
        <v>0.13085285875700947</v>
      </c>
      <c r="C103">
        <f t="shared" ca="1" si="13"/>
        <v>1.758473762463588</v>
      </c>
      <c r="D103">
        <f t="shared" ca="1" si="14"/>
        <v>-0.60809140817324292</v>
      </c>
      <c r="E103">
        <f t="shared" ca="1" si="15"/>
        <v>1</v>
      </c>
      <c r="F103">
        <f t="shared" ca="1" si="16"/>
        <v>-0.60809140817324292</v>
      </c>
      <c r="G103" t="e">
        <f t="shared" ca="1" si="17"/>
        <v>#N/A</v>
      </c>
      <c r="H103" t="e">
        <f>NA()</f>
        <v>#N/A</v>
      </c>
      <c r="I103" t="e">
        <f>NA()</f>
        <v>#N/A</v>
      </c>
      <c r="J103" t="e">
        <f>NA()</f>
        <v>#N/A</v>
      </c>
      <c r="K103" t="e">
        <f>NA()</f>
        <v>#N/A</v>
      </c>
    </row>
    <row r="104" spans="1:11" x14ac:dyDescent="0.25">
      <c r="A104">
        <v>84</v>
      </c>
      <c r="B104">
        <f t="shared" ca="1" si="12"/>
        <v>0.24062234236930935</v>
      </c>
      <c r="C104">
        <f t="shared" ca="1" si="13"/>
        <v>0.29467755939836388</v>
      </c>
      <c r="D104">
        <f t="shared" ca="1" si="14"/>
        <v>-4.353286587913209E-2</v>
      </c>
      <c r="E104">
        <f t="shared" ca="1" si="15"/>
        <v>1</v>
      </c>
      <c r="F104">
        <f t="shared" ca="1" si="16"/>
        <v>-4.353286587913209E-2</v>
      </c>
      <c r="G104" t="e">
        <f t="shared" ca="1" si="17"/>
        <v>#N/A</v>
      </c>
      <c r="H104" t="e">
        <f>NA()</f>
        <v>#N/A</v>
      </c>
      <c r="I104" t="e">
        <f>NA()</f>
        <v>#N/A</v>
      </c>
      <c r="J104" t="e">
        <f>NA()</f>
        <v>#N/A</v>
      </c>
      <c r="K104" t="e">
        <f>NA()</f>
        <v>#N/A</v>
      </c>
    </row>
    <row r="105" spans="1:11" x14ac:dyDescent="0.25">
      <c r="A105">
        <v>85</v>
      </c>
      <c r="B105">
        <f t="shared" ca="1" si="12"/>
        <v>0.17653107927239609</v>
      </c>
      <c r="C105">
        <f t="shared" ca="1" si="13"/>
        <v>-1.9357674185352813</v>
      </c>
      <c r="D105">
        <f t="shared" ca="1" si="14"/>
        <v>0.74446243040382298</v>
      </c>
      <c r="E105">
        <f t="shared" ca="1" si="15"/>
        <v>1</v>
      </c>
      <c r="F105">
        <f t="shared" ca="1" si="16"/>
        <v>0.74446243040382298</v>
      </c>
      <c r="G105" t="e">
        <f t="shared" ca="1" si="17"/>
        <v>#N/A</v>
      </c>
      <c r="H105" t="e">
        <f>NA()</f>
        <v>#N/A</v>
      </c>
      <c r="I105" t="e">
        <f>NA()</f>
        <v>#N/A</v>
      </c>
      <c r="J105" t="e">
        <f>NA()</f>
        <v>#N/A</v>
      </c>
      <c r="K105" t="e">
        <f>NA()</f>
        <v>#N/A</v>
      </c>
    </row>
    <row r="106" spans="1:11" x14ac:dyDescent="0.25">
      <c r="A106">
        <v>86</v>
      </c>
      <c r="B106">
        <f t="shared" ca="1" si="12"/>
        <v>6.4165619942729735E-2</v>
      </c>
      <c r="C106">
        <f t="shared" ca="1" si="13"/>
        <v>0.62762516282825753</v>
      </c>
      <c r="D106">
        <f t="shared" ca="1" si="14"/>
        <v>1.492782533978543</v>
      </c>
      <c r="E106">
        <f t="shared" ca="1" si="15"/>
        <v>1</v>
      </c>
      <c r="F106">
        <f t="shared" ca="1" si="16"/>
        <v>1.492782533978543</v>
      </c>
      <c r="G106" t="e">
        <f t="shared" ca="1" si="17"/>
        <v>#N/A</v>
      </c>
      <c r="H106" t="e">
        <f>NA()</f>
        <v>#N/A</v>
      </c>
      <c r="I106" t="e">
        <f>NA()</f>
        <v>#N/A</v>
      </c>
      <c r="J106" t="e">
        <f>NA()</f>
        <v>#N/A</v>
      </c>
      <c r="K106" t="e">
        <f>NA()</f>
        <v>#N/A</v>
      </c>
    </row>
    <row r="107" spans="1:11" x14ac:dyDescent="0.25">
      <c r="A107">
        <v>87</v>
      </c>
      <c r="B107">
        <f t="shared" ca="1" si="12"/>
        <v>0.52975721793674202</v>
      </c>
      <c r="C107">
        <f t="shared" ca="1" si="13"/>
        <v>2.4107909336845004</v>
      </c>
      <c r="D107">
        <f t="shared" ca="1" si="14"/>
        <v>8.1544437634432754E-2</v>
      </c>
      <c r="E107">
        <f t="shared" ca="1" si="15"/>
        <v>1</v>
      </c>
      <c r="F107">
        <f t="shared" ca="1" si="16"/>
        <v>8.1544437634432754E-2</v>
      </c>
      <c r="G107" t="e">
        <f t="shared" ca="1" si="17"/>
        <v>#N/A</v>
      </c>
      <c r="H107" t="e">
        <f>NA()</f>
        <v>#N/A</v>
      </c>
      <c r="I107" t="e">
        <f>NA()</f>
        <v>#N/A</v>
      </c>
      <c r="J107" t="e">
        <f>NA()</f>
        <v>#N/A</v>
      </c>
      <c r="K107" t="e">
        <f>NA()</f>
        <v>#N/A</v>
      </c>
    </row>
    <row r="108" spans="1:11" x14ac:dyDescent="0.25">
      <c r="A108">
        <v>88</v>
      </c>
      <c r="B108">
        <f t="shared" ca="1" si="12"/>
        <v>0.60158306697035135</v>
      </c>
      <c r="C108">
        <f t="shared" ca="1" si="13"/>
        <v>3.5939313760496394</v>
      </c>
      <c r="D108">
        <f t="shared" ca="1" si="14"/>
        <v>6.0754536999499269</v>
      </c>
      <c r="E108">
        <f t="shared" ca="1" si="15"/>
        <v>2</v>
      </c>
      <c r="F108" t="e">
        <f t="shared" ca="1" si="16"/>
        <v>#N/A</v>
      </c>
      <c r="G108">
        <f t="shared" ca="1" si="17"/>
        <v>6.0754536999499269</v>
      </c>
      <c r="H108" t="e">
        <f>NA()</f>
        <v>#N/A</v>
      </c>
      <c r="I108" t="e">
        <f>NA()</f>
        <v>#N/A</v>
      </c>
      <c r="J108" t="e">
        <f>NA()</f>
        <v>#N/A</v>
      </c>
      <c r="K108" t="e">
        <f>NA()</f>
        <v>#N/A</v>
      </c>
    </row>
    <row r="109" spans="1:11" x14ac:dyDescent="0.25">
      <c r="A109">
        <v>89</v>
      </c>
      <c r="B109">
        <f t="shared" ca="1" si="12"/>
        <v>0.94913677175424294</v>
      </c>
      <c r="C109">
        <f t="shared" ca="1" si="13"/>
        <v>3.5471281872592058</v>
      </c>
      <c r="D109">
        <f t="shared" ca="1" si="14"/>
        <v>3.3966380374410075</v>
      </c>
      <c r="E109">
        <f t="shared" ca="1" si="15"/>
        <v>2</v>
      </c>
      <c r="F109" t="e">
        <f t="shared" ca="1" si="16"/>
        <v>#N/A</v>
      </c>
      <c r="G109">
        <f t="shared" ca="1" si="17"/>
        <v>3.3966380374410075</v>
      </c>
      <c r="H109" t="e">
        <f>NA()</f>
        <v>#N/A</v>
      </c>
      <c r="I109" t="e">
        <f>NA()</f>
        <v>#N/A</v>
      </c>
      <c r="J109" t="e">
        <f>NA()</f>
        <v>#N/A</v>
      </c>
      <c r="K109" t="e">
        <f>NA()</f>
        <v>#N/A</v>
      </c>
    </row>
    <row r="110" spans="1:11" x14ac:dyDescent="0.25">
      <c r="A110">
        <v>90</v>
      </c>
      <c r="B110">
        <f t="shared" ca="1" si="12"/>
        <v>0.36301379361550112</v>
      </c>
      <c r="C110">
        <f t="shared" ca="1" si="13"/>
        <v>3.048304391571047</v>
      </c>
      <c r="D110">
        <f t="shared" ca="1" si="14"/>
        <v>-0.44726162594694313</v>
      </c>
      <c r="E110">
        <f t="shared" ca="1" si="15"/>
        <v>1</v>
      </c>
      <c r="F110">
        <f t="shared" ca="1" si="16"/>
        <v>-0.44726162594694313</v>
      </c>
      <c r="G110" t="e">
        <f t="shared" ca="1" si="17"/>
        <v>#N/A</v>
      </c>
      <c r="H110" t="e">
        <f>NA()</f>
        <v>#N/A</v>
      </c>
      <c r="I110" t="e">
        <f>NA()</f>
        <v>#N/A</v>
      </c>
      <c r="J110" t="e">
        <f>NA()</f>
        <v>#N/A</v>
      </c>
      <c r="K110" t="e">
        <f>NA()</f>
        <v>#N/A</v>
      </c>
    </row>
    <row r="111" spans="1:11" x14ac:dyDescent="0.25">
      <c r="A111">
        <v>91</v>
      </c>
      <c r="B111">
        <f t="shared" ca="1" si="12"/>
        <v>0.28583287449620565</v>
      </c>
      <c r="C111">
        <f t="shared" ca="1" si="13"/>
        <v>-1.0544062572955941</v>
      </c>
      <c r="D111">
        <f t="shared" ca="1" si="14"/>
        <v>-0.36902640668956482</v>
      </c>
      <c r="E111">
        <f t="shared" ca="1" si="15"/>
        <v>1</v>
      </c>
      <c r="F111">
        <f t="shared" ca="1" si="16"/>
        <v>-0.36902640668956482</v>
      </c>
      <c r="G111" t="e">
        <f t="shared" ca="1" si="17"/>
        <v>#N/A</v>
      </c>
      <c r="H111" t="e">
        <f>NA()</f>
        <v>#N/A</v>
      </c>
      <c r="I111" t="e">
        <f>NA()</f>
        <v>#N/A</v>
      </c>
      <c r="J111" t="e">
        <f>NA()</f>
        <v>#N/A</v>
      </c>
      <c r="K111" t="e">
        <f>NA()</f>
        <v>#N/A</v>
      </c>
    </row>
    <row r="112" spans="1:11" x14ac:dyDescent="0.25">
      <c r="A112">
        <v>92</v>
      </c>
      <c r="B112">
        <f t="shared" ca="1" si="12"/>
        <v>0.60945959248363979</v>
      </c>
      <c r="C112">
        <f t="shared" ca="1" si="13"/>
        <v>2.7592062241121851</v>
      </c>
      <c r="D112">
        <f t="shared" ca="1" si="14"/>
        <v>4.4592335752112486</v>
      </c>
      <c r="E112">
        <f t="shared" ca="1" si="15"/>
        <v>2</v>
      </c>
      <c r="F112" t="e">
        <f t="shared" ca="1" si="16"/>
        <v>#N/A</v>
      </c>
      <c r="G112">
        <f t="shared" ca="1" si="17"/>
        <v>4.4592335752112486</v>
      </c>
      <c r="H112" t="e">
        <f>NA()</f>
        <v>#N/A</v>
      </c>
      <c r="I112" t="e">
        <f>NA()</f>
        <v>#N/A</v>
      </c>
      <c r="J112" t="e">
        <f>NA()</f>
        <v>#N/A</v>
      </c>
      <c r="K112" t="e">
        <f>NA()</f>
        <v>#N/A</v>
      </c>
    </row>
    <row r="113" spans="1:11" x14ac:dyDescent="0.25">
      <c r="A113">
        <v>93</v>
      </c>
      <c r="B113">
        <f t="shared" ca="1" si="12"/>
        <v>0.40278759374545403</v>
      </c>
      <c r="C113">
        <f t="shared" ca="1" si="13"/>
        <v>1.2754170863365852</v>
      </c>
      <c r="D113">
        <f t="shared" ca="1" si="14"/>
        <v>-1.0524698999078124</v>
      </c>
      <c r="E113">
        <f t="shared" ca="1" si="15"/>
        <v>1</v>
      </c>
      <c r="F113">
        <f t="shared" ca="1" si="16"/>
        <v>-1.0524698999078124</v>
      </c>
      <c r="G113" t="e">
        <f t="shared" ca="1" si="17"/>
        <v>#N/A</v>
      </c>
      <c r="H113" t="e">
        <f>NA()</f>
        <v>#N/A</v>
      </c>
      <c r="I113" t="e">
        <f>NA()</f>
        <v>#N/A</v>
      </c>
      <c r="J113" t="e">
        <f>NA()</f>
        <v>#N/A</v>
      </c>
      <c r="K113" t="e">
        <f>NA()</f>
        <v>#N/A</v>
      </c>
    </row>
    <row r="114" spans="1:11" x14ac:dyDescent="0.25">
      <c r="A114">
        <v>94</v>
      </c>
      <c r="B114">
        <f t="shared" ca="1" si="12"/>
        <v>0.3936828941623105</v>
      </c>
      <c r="C114">
        <f t="shared" ca="1" si="13"/>
        <v>2.9040260787492445</v>
      </c>
      <c r="D114">
        <f t="shared" ca="1" si="14"/>
        <v>-1.6062446770865535</v>
      </c>
      <c r="E114">
        <f t="shared" ca="1" si="15"/>
        <v>1</v>
      </c>
      <c r="F114">
        <f t="shared" ca="1" si="16"/>
        <v>-1.6062446770865535</v>
      </c>
      <c r="G114" t="e">
        <f t="shared" ca="1" si="17"/>
        <v>#N/A</v>
      </c>
      <c r="H114" t="e">
        <f>NA()</f>
        <v>#N/A</v>
      </c>
      <c r="I114" t="e">
        <f>NA()</f>
        <v>#N/A</v>
      </c>
      <c r="J114" t="e">
        <f>NA()</f>
        <v>#N/A</v>
      </c>
      <c r="K114" t="e">
        <f>NA()</f>
        <v>#N/A</v>
      </c>
    </row>
    <row r="115" spans="1:11" x14ac:dyDescent="0.25">
      <c r="A115">
        <v>95</v>
      </c>
      <c r="B115">
        <f t="shared" ca="1" si="12"/>
        <v>0.82300135090058424</v>
      </c>
      <c r="C115">
        <f t="shared" ca="1" si="13"/>
        <v>3.3948529629583954</v>
      </c>
      <c r="D115">
        <f t="shared" ca="1" si="14"/>
        <v>2.1759691320742043</v>
      </c>
      <c r="E115">
        <f t="shared" ca="1" si="15"/>
        <v>2</v>
      </c>
      <c r="F115" t="e">
        <f t="shared" ca="1" si="16"/>
        <v>#N/A</v>
      </c>
      <c r="G115">
        <f t="shared" ca="1" si="17"/>
        <v>2.1759691320742043</v>
      </c>
      <c r="H115" t="e">
        <f>NA()</f>
        <v>#N/A</v>
      </c>
      <c r="I115" t="e">
        <f>NA()</f>
        <v>#N/A</v>
      </c>
      <c r="J115" t="e">
        <f>NA()</f>
        <v>#N/A</v>
      </c>
      <c r="K115" t="e">
        <f>NA()</f>
        <v>#N/A</v>
      </c>
    </row>
    <row r="116" spans="1:11" x14ac:dyDescent="0.25">
      <c r="A116">
        <v>96</v>
      </c>
      <c r="B116">
        <f t="shared" ca="1" si="12"/>
        <v>0.19951937773613693</v>
      </c>
      <c r="C116">
        <f t="shared" ca="1" si="13"/>
        <v>-3.3431318151230993</v>
      </c>
      <c r="D116">
        <f t="shared" ca="1" si="14"/>
        <v>0.57410808338347463</v>
      </c>
      <c r="E116">
        <f t="shared" ca="1" si="15"/>
        <v>1</v>
      </c>
      <c r="F116">
        <f t="shared" ca="1" si="16"/>
        <v>0.57410808338347463</v>
      </c>
      <c r="G116" t="e">
        <f t="shared" ca="1" si="17"/>
        <v>#N/A</v>
      </c>
      <c r="H116" t="e">
        <f>NA()</f>
        <v>#N/A</v>
      </c>
      <c r="I116" t="e">
        <f>NA()</f>
        <v>#N/A</v>
      </c>
      <c r="J116" t="e">
        <f>NA()</f>
        <v>#N/A</v>
      </c>
      <c r="K116" t="e">
        <f>NA()</f>
        <v>#N/A</v>
      </c>
    </row>
    <row r="117" spans="1:11" x14ac:dyDescent="0.25">
      <c r="A117">
        <v>97</v>
      </c>
      <c r="B117">
        <f t="shared" ca="1" si="12"/>
        <v>0.60629958473632706</v>
      </c>
      <c r="C117">
        <f t="shared" ca="1" si="13"/>
        <v>4.2727774298961796</v>
      </c>
      <c r="D117">
        <f t="shared" ca="1" si="14"/>
        <v>4.3584608374435421</v>
      </c>
      <c r="E117">
        <f t="shared" ca="1" si="15"/>
        <v>2</v>
      </c>
      <c r="F117" t="e">
        <f t="shared" ca="1" si="16"/>
        <v>#N/A</v>
      </c>
      <c r="G117">
        <f t="shared" ca="1" si="17"/>
        <v>4.3584608374435421</v>
      </c>
      <c r="H117" t="e">
        <f>NA()</f>
        <v>#N/A</v>
      </c>
      <c r="I117" t="e">
        <f>NA()</f>
        <v>#N/A</v>
      </c>
      <c r="J117" t="e">
        <f>NA()</f>
        <v>#N/A</v>
      </c>
      <c r="K117" t="e">
        <f>NA()</f>
        <v>#N/A</v>
      </c>
    </row>
    <row r="118" spans="1:11" x14ac:dyDescent="0.25">
      <c r="A118">
        <v>98</v>
      </c>
      <c r="B118">
        <f t="shared" ca="1" si="12"/>
        <v>0.32386763463328694</v>
      </c>
      <c r="C118">
        <f t="shared" ca="1" si="13"/>
        <v>1.3541180519689362</v>
      </c>
      <c r="D118">
        <f t="shared" ca="1" si="14"/>
        <v>0.56257452576318112</v>
      </c>
      <c r="E118">
        <f t="shared" ca="1" si="15"/>
        <v>1</v>
      </c>
      <c r="F118">
        <f t="shared" ca="1" si="16"/>
        <v>0.56257452576318112</v>
      </c>
      <c r="G118" t="e">
        <f t="shared" ca="1" si="17"/>
        <v>#N/A</v>
      </c>
      <c r="H118" t="e">
        <f>NA()</f>
        <v>#N/A</v>
      </c>
      <c r="I118" t="e">
        <f>NA()</f>
        <v>#N/A</v>
      </c>
      <c r="J118" t="e">
        <f>NA()</f>
        <v>#N/A</v>
      </c>
      <c r="K118" t="e">
        <f>NA()</f>
        <v>#N/A</v>
      </c>
    </row>
    <row r="119" spans="1:11" x14ac:dyDescent="0.25">
      <c r="A119">
        <v>99</v>
      </c>
      <c r="B119">
        <f t="shared" ca="1" si="12"/>
        <v>0.45697339077555432</v>
      </c>
      <c r="C119">
        <f t="shared" ca="1" si="13"/>
        <v>0.30019533497747464</v>
      </c>
      <c r="D119">
        <f t="shared" ca="1" si="14"/>
        <v>0.26281691989729489</v>
      </c>
      <c r="E119">
        <f t="shared" ca="1" si="15"/>
        <v>1</v>
      </c>
      <c r="F119">
        <f t="shared" ca="1" si="16"/>
        <v>0.26281691989729489</v>
      </c>
      <c r="G119" t="e">
        <f t="shared" ca="1" si="17"/>
        <v>#N/A</v>
      </c>
      <c r="H119" t="e">
        <f>NA()</f>
        <v>#N/A</v>
      </c>
      <c r="I119" t="e">
        <f>NA()</f>
        <v>#N/A</v>
      </c>
      <c r="J119" t="e">
        <f>NA()</f>
        <v>#N/A</v>
      </c>
      <c r="K119" t="e">
        <f>NA()</f>
        <v>#N/A</v>
      </c>
    </row>
    <row r="120" spans="1:11" x14ac:dyDescent="0.25">
      <c r="A120">
        <v>100</v>
      </c>
      <c r="B120">
        <f t="shared" ca="1" si="12"/>
        <v>0.55096944660258107</v>
      </c>
      <c r="C120">
        <f t="shared" ca="1" si="13"/>
        <v>1.1257274804080926</v>
      </c>
      <c r="D120">
        <f t="shared" ca="1" si="14"/>
        <v>-0.2392659800377962</v>
      </c>
      <c r="E120">
        <f t="shared" ca="1" si="15"/>
        <v>1</v>
      </c>
      <c r="F120">
        <f t="shared" ca="1" si="16"/>
        <v>-0.2392659800377962</v>
      </c>
      <c r="G120" t="e">
        <f t="shared" ca="1" si="17"/>
        <v>#N/A</v>
      </c>
      <c r="H120" t="e">
        <f>NA()</f>
        <v>#N/A</v>
      </c>
      <c r="I120" t="e">
        <f>NA()</f>
        <v>#N/A</v>
      </c>
      <c r="J120" t="e">
        <f>NA()</f>
        <v>#N/A</v>
      </c>
      <c r="K120" t="e">
        <f>NA()</f>
        <v>#N/A</v>
      </c>
    </row>
    <row r="121" spans="1:11" x14ac:dyDescent="0.25">
      <c r="A121">
        <v>101</v>
      </c>
      <c r="B121">
        <f t="shared" ca="1" si="12"/>
        <v>0.706285191606709</v>
      </c>
      <c r="C121">
        <f t="shared" ca="1" si="13"/>
        <v>2.9781660832863306</v>
      </c>
      <c r="D121">
        <f t="shared" ca="1" si="14"/>
        <v>1.5868166604329854</v>
      </c>
      <c r="E121">
        <f t="shared" ca="1" si="15"/>
        <v>2</v>
      </c>
      <c r="F121" t="e">
        <f t="shared" ca="1" si="16"/>
        <v>#N/A</v>
      </c>
      <c r="G121">
        <f t="shared" ca="1" si="17"/>
        <v>1.5868166604329854</v>
      </c>
      <c r="H121" t="e">
        <f>NA()</f>
        <v>#N/A</v>
      </c>
      <c r="I121" t="e">
        <f>NA()</f>
        <v>#N/A</v>
      </c>
      <c r="J121" t="e">
        <f>NA()</f>
        <v>#N/A</v>
      </c>
      <c r="K121" t="e">
        <f>NA()</f>
        <v>#N/A</v>
      </c>
    </row>
    <row r="122" spans="1:11" x14ac:dyDescent="0.25">
      <c r="A122">
        <v>102</v>
      </c>
      <c r="B122">
        <f t="shared" ca="1" si="12"/>
        <v>0.13068217650766478</v>
      </c>
      <c r="C122">
        <f t="shared" ca="1" si="13"/>
        <v>1.5839415843550908</v>
      </c>
      <c r="D122">
        <f t="shared" ca="1" si="14"/>
        <v>-1.9138397773711537</v>
      </c>
      <c r="E122">
        <f t="shared" ca="1" si="15"/>
        <v>1</v>
      </c>
      <c r="F122">
        <f t="shared" ca="1" si="16"/>
        <v>-1.9138397773711537</v>
      </c>
      <c r="G122" t="e">
        <f t="shared" ca="1" si="17"/>
        <v>#N/A</v>
      </c>
      <c r="H122" t="e">
        <f>NA()</f>
        <v>#N/A</v>
      </c>
      <c r="I122" t="e">
        <f>NA()</f>
        <v>#N/A</v>
      </c>
      <c r="J122" t="e">
        <f>NA()</f>
        <v>#N/A</v>
      </c>
      <c r="K122" t="e">
        <f>NA()</f>
        <v>#N/A</v>
      </c>
    </row>
    <row r="123" spans="1:11" x14ac:dyDescent="0.25">
      <c r="A123">
        <v>103</v>
      </c>
      <c r="B123">
        <f t="shared" ca="1" si="12"/>
        <v>0.78238909735356288</v>
      </c>
      <c r="C123">
        <f t="shared" ca="1" si="13"/>
        <v>3.8674815740734392</v>
      </c>
      <c r="D123">
        <f t="shared" ca="1" si="14"/>
        <v>5.4598802498233985</v>
      </c>
      <c r="E123">
        <f t="shared" ca="1" si="15"/>
        <v>2</v>
      </c>
      <c r="F123" t="e">
        <f t="shared" ca="1" si="16"/>
        <v>#N/A</v>
      </c>
      <c r="G123">
        <f t="shared" ca="1" si="17"/>
        <v>5.4598802498233985</v>
      </c>
      <c r="H123" t="e">
        <f>NA()</f>
        <v>#N/A</v>
      </c>
      <c r="I123" t="e">
        <f>NA()</f>
        <v>#N/A</v>
      </c>
      <c r="J123" t="e">
        <f>NA()</f>
        <v>#N/A</v>
      </c>
      <c r="K123" t="e">
        <f>NA()</f>
        <v>#N/A</v>
      </c>
    </row>
    <row r="124" spans="1:11" x14ac:dyDescent="0.25">
      <c r="A124">
        <v>104</v>
      </c>
      <c r="B124">
        <f t="shared" ca="1" si="12"/>
        <v>0.29064656179756931</v>
      </c>
      <c r="C124">
        <f t="shared" ca="1" si="13"/>
        <v>1.4362511649543541</v>
      </c>
      <c r="D124">
        <f t="shared" ca="1" si="14"/>
        <v>-1.0017213938248004</v>
      </c>
      <c r="E124">
        <f t="shared" ca="1" si="15"/>
        <v>1</v>
      </c>
      <c r="F124">
        <f t="shared" ca="1" si="16"/>
        <v>-1.0017213938248004</v>
      </c>
      <c r="G124" t="e">
        <f t="shared" ca="1" si="17"/>
        <v>#N/A</v>
      </c>
      <c r="H124" t="e">
        <f>NA()</f>
        <v>#N/A</v>
      </c>
      <c r="I124" t="e">
        <f>NA()</f>
        <v>#N/A</v>
      </c>
      <c r="J124" t="e">
        <f>NA()</f>
        <v>#N/A</v>
      </c>
      <c r="K124" t="e">
        <f>NA()</f>
        <v>#N/A</v>
      </c>
    </row>
    <row r="125" spans="1:11" x14ac:dyDescent="0.25">
      <c r="A125">
        <v>105</v>
      </c>
      <c r="B125">
        <f t="shared" ca="1" si="12"/>
        <v>0.91595018051561339</v>
      </c>
      <c r="C125">
        <f t="shared" ca="1" si="13"/>
        <v>4.3096387552989333</v>
      </c>
      <c r="D125">
        <f t="shared" ca="1" si="14"/>
        <v>5.1193585059236977</v>
      </c>
      <c r="E125">
        <f t="shared" ca="1" si="15"/>
        <v>2</v>
      </c>
      <c r="F125" t="e">
        <f t="shared" ca="1" si="16"/>
        <v>#N/A</v>
      </c>
      <c r="G125">
        <f t="shared" ca="1" si="17"/>
        <v>5.1193585059236977</v>
      </c>
      <c r="H125" t="e">
        <f>NA()</f>
        <v>#N/A</v>
      </c>
      <c r="I125" t="e">
        <f>NA()</f>
        <v>#N/A</v>
      </c>
      <c r="J125" t="e">
        <f>NA()</f>
        <v>#N/A</v>
      </c>
      <c r="K125" t="e">
        <f>NA()</f>
        <v>#N/A</v>
      </c>
    </row>
    <row r="126" spans="1:11" x14ac:dyDescent="0.25">
      <c r="A126">
        <v>106</v>
      </c>
      <c r="B126">
        <f t="shared" ca="1" si="12"/>
        <v>0.4923906240044682</v>
      </c>
      <c r="C126">
        <f t="shared" ca="1" si="13"/>
        <v>2.8125875373755322</v>
      </c>
      <c r="D126">
        <f t="shared" ca="1" si="14"/>
        <v>1.5668190856358477</v>
      </c>
      <c r="E126">
        <f t="shared" ca="1" si="15"/>
        <v>1</v>
      </c>
      <c r="F126">
        <f t="shared" ca="1" si="16"/>
        <v>1.5668190856358477</v>
      </c>
      <c r="G126" t="e">
        <f t="shared" ca="1" si="17"/>
        <v>#N/A</v>
      </c>
      <c r="H126" t="e">
        <f>NA()</f>
        <v>#N/A</v>
      </c>
      <c r="I126" t="e">
        <f>NA()</f>
        <v>#N/A</v>
      </c>
      <c r="J126" t="e">
        <f>NA()</f>
        <v>#N/A</v>
      </c>
      <c r="K126" t="e">
        <f>NA()</f>
        <v>#N/A</v>
      </c>
    </row>
    <row r="127" spans="1:11" x14ac:dyDescent="0.25">
      <c r="A127">
        <v>107</v>
      </c>
      <c r="B127">
        <f t="shared" ca="1" si="12"/>
        <v>0.54756699739203718</v>
      </c>
      <c r="C127">
        <f t="shared" ca="1" si="13"/>
        <v>-0.61706221073473144</v>
      </c>
      <c r="D127">
        <f t="shared" ca="1" si="14"/>
        <v>-0.45577097428454144</v>
      </c>
      <c r="E127">
        <f t="shared" ca="1" si="15"/>
        <v>1</v>
      </c>
      <c r="F127">
        <f t="shared" ca="1" si="16"/>
        <v>-0.45577097428454144</v>
      </c>
      <c r="G127" t="e">
        <f t="shared" ca="1" si="17"/>
        <v>#N/A</v>
      </c>
      <c r="H127" t="e">
        <f>NA()</f>
        <v>#N/A</v>
      </c>
      <c r="I127" t="e">
        <f>NA()</f>
        <v>#N/A</v>
      </c>
      <c r="J127" t="e">
        <f>NA()</f>
        <v>#N/A</v>
      </c>
      <c r="K127" t="e">
        <f>NA()</f>
        <v>#N/A</v>
      </c>
    </row>
    <row r="128" spans="1:11" x14ac:dyDescent="0.25">
      <c r="A128">
        <v>108</v>
      </c>
      <c r="B128">
        <f t="shared" ca="1" si="12"/>
        <v>0.15982513268257204</v>
      </c>
      <c r="C128">
        <f t="shared" ca="1" si="13"/>
        <v>1.04791529005682</v>
      </c>
      <c r="D128">
        <f t="shared" ca="1" si="14"/>
        <v>-1.1510082832986051</v>
      </c>
      <c r="E128">
        <f t="shared" ca="1" si="15"/>
        <v>1</v>
      </c>
      <c r="F128">
        <f t="shared" ca="1" si="16"/>
        <v>-1.1510082832986051</v>
      </c>
      <c r="G128" t="e">
        <f t="shared" ca="1" si="17"/>
        <v>#N/A</v>
      </c>
      <c r="H128" t="e">
        <f>NA()</f>
        <v>#N/A</v>
      </c>
      <c r="I128" t="e">
        <f>NA()</f>
        <v>#N/A</v>
      </c>
      <c r="J128" t="e">
        <f>NA()</f>
        <v>#N/A</v>
      </c>
      <c r="K128" t="e">
        <f>NA()</f>
        <v>#N/A</v>
      </c>
    </row>
    <row r="129" spans="1:11" x14ac:dyDescent="0.25">
      <c r="A129">
        <v>109</v>
      </c>
      <c r="B129">
        <f t="shared" ca="1" si="12"/>
        <v>0.96406227214046891</v>
      </c>
      <c r="C129">
        <f t="shared" ca="1" si="13"/>
        <v>4.0884507933670537</v>
      </c>
      <c r="D129">
        <f t="shared" ca="1" si="14"/>
        <v>4.745612263498205</v>
      </c>
      <c r="E129">
        <f t="shared" ca="1" si="15"/>
        <v>2</v>
      </c>
      <c r="F129" t="e">
        <f t="shared" ca="1" si="16"/>
        <v>#N/A</v>
      </c>
      <c r="G129">
        <f t="shared" ca="1" si="17"/>
        <v>4.745612263498205</v>
      </c>
      <c r="H129" t="e">
        <f>NA()</f>
        <v>#N/A</v>
      </c>
      <c r="I129" t="e">
        <f>NA()</f>
        <v>#N/A</v>
      </c>
      <c r="J129" t="e">
        <f>NA()</f>
        <v>#N/A</v>
      </c>
      <c r="K129" t="e">
        <f>NA()</f>
        <v>#N/A</v>
      </c>
    </row>
    <row r="130" spans="1:11" x14ac:dyDescent="0.25">
      <c r="A130">
        <v>110</v>
      </c>
      <c r="B130">
        <f t="shared" ca="1" si="12"/>
        <v>0.36929247798620934</v>
      </c>
      <c r="C130">
        <f t="shared" ca="1" si="13"/>
        <v>-8.5189723514257507E-2</v>
      </c>
      <c r="D130">
        <f t="shared" ca="1" si="14"/>
        <v>-0.12507124649284904</v>
      </c>
      <c r="E130">
        <f t="shared" ca="1" si="15"/>
        <v>1</v>
      </c>
      <c r="F130">
        <f t="shared" ca="1" si="16"/>
        <v>-0.12507124649284904</v>
      </c>
      <c r="G130" t="e">
        <f t="shared" ca="1" si="17"/>
        <v>#N/A</v>
      </c>
      <c r="H130" t="e">
        <f>NA()</f>
        <v>#N/A</v>
      </c>
      <c r="I130" t="e">
        <f>NA()</f>
        <v>#N/A</v>
      </c>
      <c r="J130" t="e">
        <f>NA()</f>
        <v>#N/A</v>
      </c>
      <c r="K130" t="e">
        <f>NA()</f>
        <v>#N/A</v>
      </c>
    </row>
    <row r="131" spans="1:11" x14ac:dyDescent="0.25">
      <c r="A131">
        <v>111</v>
      </c>
      <c r="B131">
        <f t="shared" ca="1" si="12"/>
        <v>0.57168132316852072</v>
      </c>
      <c r="C131">
        <f t="shared" ca="1" si="13"/>
        <v>1.3800556151792684</v>
      </c>
      <c r="D131">
        <f t="shared" ca="1" si="14"/>
        <v>-0.77089926549386611</v>
      </c>
      <c r="E131">
        <f t="shared" ca="1" si="15"/>
        <v>1</v>
      </c>
      <c r="F131">
        <f t="shared" ca="1" si="16"/>
        <v>-0.77089926549386611</v>
      </c>
      <c r="G131" t="e">
        <f t="shared" ca="1" si="17"/>
        <v>#N/A</v>
      </c>
      <c r="H131" t="e">
        <f>NA()</f>
        <v>#N/A</v>
      </c>
      <c r="I131" t="e">
        <f>NA()</f>
        <v>#N/A</v>
      </c>
      <c r="J131" t="e">
        <f>NA()</f>
        <v>#N/A</v>
      </c>
      <c r="K131" t="e">
        <f>NA()</f>
        <v>#N/A</v>
      </c>
    </row>
    <row r="132" spans="1:11" x14ac:dyDescent="0.25">
      <c r="A132">
        <v>112</v>
      </c>
      <c r="B132">
        <f t="shared" ca="1" si="12"/>
        <v>0.58445734691810114</v>
      </c>
      <c r="C132">
        <f t="shared" ca="1" si="13"/>
        <v>-0.7806217036401889</v>
      </c>
      <c r="D132">
        <f t="shared" ca="1" si="14"/>
        <v>1.7755286131345811</v>
      </c>
      <c r="E132">
        <f t="shared" ca="1" si="15"/>
        <v>1</v>
      </c>
      <c r="F132">
        <f t="shared" ca="1" si="16"/>
        <v>1.7755286131345811</v>
      </c>
      <c r="G132" t="e">
        <f t="shared" ca="1" si="17"/>
        <v>#N/A</v>
      </c>
      <c r="H132" t="e">
        <f>NA()</f>
        <v>#N/A</v>
      </c>
      <c r="I132" t="e">
        <f>NA()</f>
        <v>#N/A</v>
      </c>
      <c r="J132" t="e">
        <f>NA()</f>
        <v>#N/A</v>
      </c>
      <c r="K132" t="e">
        <f>NA()</f>
        <v>#N/A</v>
      </c>
    </row>
    <row r="133" spans="1:11" x14ac:dyDescent="0.25">
      <c r="A133">
        <v>113</v>
      </c>
      <c r="B133">
        <f t="shared" ca="1" si="12"/>
        <v>0.14731873939067963</v>
      </c>
      <c r="C133">
        <f t="shared" ca="1" si="13"/>
        <v>-0.82405539923198701</v>
      </c>
      <c r="D133">
        <f t="shared" ca="1" si="14"/>
        <v>-0.48612405158756344</v>
      </c>
      <c r="E133">
        <f t="shared" ca="1" si="15"/>
        <v>1</v>
      </c>
      <c r="F133">
        <f t="shared" ca="1" si="16"/>
        <v>-0.48612405158756344</v>
      </c>
      <c r="G133" t="e">
        <f t="shared" ca="1" si="17"/>
        <v>#N/A</v>
      </c>
      <c r="H133" t="e">
        <f>NA()</f>
        <v>#N/A</v>
      </c>
      <c r="I133" t="e">
        <f>NA()</f>
        <v>#N/A</v>
      </c>
      <c r="J133" t="e">
        <f>NA()</f>
        <v>#N/A</v>
      </c>
      <c r="K133" t="e">
        <f>NA()</f>
        <v>#N/A</v>
      </c>
    </row>
    <row r="134" spans="1:11" x14ac:dyDescent="0.25">
      <c r="A134">
        <v>114</v>
      </c>
      <c r="B134">
        <f t="shared" ca="1" si="12"/>
        <v>1.1980076176219767E-2</v>
      </c>
      <c r="C134">
        <f t="shared" ca="1" si="13"/>
        <v>-6.4358388760818189E-2</v>
      </c>
      <c r="D134">
        <f t="shared" ca="1" si="14"/>
        <v>-0.12392560404427307</v>
      </c>
      <c r="E134">
        <f t="shared" ca="1" si="15"/>
        <v>1</v>
      </c>
      <c r="F134">
        <f t="shared" ca="1" si="16"/>
        <v>-0.12392560404427307</v>
      </c>
      <c r="G134" t="e">
        <f t="shared" ca="1" si="17"/>
        <v>#N/A</v>
      </c>
      <c r="H134" t="e">
        <f>NA()</f>
        <v>#N/A</v>
      </c>
      <c r="I134" t="e">
        <f>NA()</f>
        <v>#N/A</v>
      </c>
      <c r="J134" t="e">
        <f>NA()</f>
        <v>#N/A</v>
      </c>
      <c r="K134" t="e">
        <f>NA()</f>
        <v>#N/A</v>
      </c>
    </row>
    <row r="135" spans="1:11" x14ac:dyDescent="0.25">
      <c r="A135">
        <v>115</v>
      </c>
      <c r="B135">
        <f t="shared" ca="1" si="12"/>
        <v>0.8033760343740235</v>
      </c>
      <c r="C135">
        <f t="shared" ca="1" si="13"/>
        <v>5.0239082121696512</v>
      </c>
      <c r="D135">
        <f t="shared" ca="1" si="14"/>
        <v>3.8636525078507122</v>
      </c>
      <c r="E135">
        <f t="shared" ca="1" si="15"/>
        <v>2</v>
      </c>
      <c r="F135" t="e">
        <f t="shared" ca="1" si="16"/>
        <v>#N/A</v>
      </c>
      <c r="G135">
        <f t="shared" ca="1" si="17"/>
        <v>3.8636525078507122</v>
      </c>
      <c r="H135" t="e">
        <f>NA()</f>
        <v>#N/A</v>
      </c>
      <c r="I135" t="e">
        <f>NA()</f>
        <v>#N/A</v>
      </c>
      <c r="J135" t="e">
        <f>NA()</f>
        <v>#N/A</v>
      </c>
      <c r="K135" t="e">
        <f>NA()</f>
        <v>#N/A</v>
      </c>
    </row>
    <row r="136" spans="1:11" x14ac:dyDescent="0.25">
      <c r="A136">
        <v>116</v>
      </c>
      <c r="B136">
        <f t="shared" ca="1" si="12"/>
        <v>0.60380090554724586</v>
      </c>
      <c r="C136">
        <f t="shared" ca="1" si="13"/>
        <v>5.5109696315173951</v>
      </c>
      <c r="D136">
        <f t="shared" ca="1" si="14"/>
        <v>5.5840893322411826</v>
      </c>
      <c r="E136">
        <f t="shared" ca="1" si="15"/>
        <v>2</v>
      </c>
      <c r="F136" t="e">
        <f t="shared" ca="1" si="16"/>
        <v>#N/A</v>
      </c>
      <c r="G136">
        <f t="shared" ca="1" si="17"/>
        <v>5.5840893322411826</v>
      </c>
      <c r="H136" t="e">
        <f>NA()</f>
        <v>#N/A</v>
      </c>
      <c r="I136" t="e">
        <f>NA()</f>
        <v>#N/A</v>
      </c>
      <c r="J136" t="e">
        <f>NA()</f>
        <v>#N/A</v>
      </c>
      <c r="K136" t="e">
        <f>NA()</f>
        <v>#N/A</v>
      </c>
    </row>
    <row r="137" spans="1:11" x14ac:dyDescent="0.25">
      <c r="A137">
        <v>117</v>
      </c>
      <c r="B137">
        <f t="shared" ca="1" si="12"/>
        <v>0.68105155489505231</v>
      </c>
      <c r="C137">
        <f t="shared" ca="1" si="13"/>
        <v>4.0711792825538788</v>
      </c>
      <c r="D137">
        <f t="shared" ca="1" si="14"/>
        <v>5.4113749620408118</v>
      </c>
      <c r="E137">
        <f t="shared" ca="1" si="15"/>
        <v>2</v>
      </c>
      <c r="F137" t="e">
        <f t="shared" ca="1" si="16"/>
        <v>#N/A</v>
      </c>
      <c r="G137">
        <f t="shared" ca="1" si="17"/>
        <v>5.4113749620408118</v>
      </c>
      <c r="H137" t="e">
        <f>NA()</f>
        <v>#N/A</v>
      </c>
      <c r="I137" t="e">
        <f>NA()</f>
        <v>#N/A</v>
      </c>
      <c r="J137" t="e">
        <f>NA()</f>
        <v>#N/A</v>
      </c>
      <c r="K137" t="e">
        <f>NA()</f>
        <v>#N/A</v>
      </c>
    </row>
    <row r="138" spans="1:11" x14ac:dyDescent="0.25">
      <c r="A138">
        <v>118</v>
      </c>
      <c r="B138">
        <f t="shared" ca="1" si="12"/>
        <v>0.44236299134444779</v>
      </c>
      <c r="C138">
        <f t="shared" ca="1" si="13"/>
        <v>-0.97636964584698305</v>
      </c>
      <c r="D138">
        <f t="shared" ca="1" si="14"/>
        <v>0.51467781231184873</v>
      </c>
      <c r="E138">
        <f t="shared" ca="1" si="15"/>
        <v>1</v>
      </c>
      <c r="F138">
        <f t="shared" ca="1" si="16"/>
        <v>0.51467781231184873</v>
      </c>
      <c r="G138" t="e">
        <f t="shared" ca="1" si="17"/>
        <v>#N/A</v>
      </c>
      <c r="H138" t="e">
        <f>NA()</f>
        <v>#N/A</v>
      </c>
      <c r="I138" t="e">
        <f>NA()</f>
        <v>#N/A</v>
      </c>
      <c r="J138" t="e">
        <f>NA()</f>
        <v>#N/A</v>
      </c>
      <c r="K138" t="e">
        <f>NA()</f>
        <v>#N/A</v>
      </c>
    </row>
    <row r="139" spans="1:11" x14ac:dyDescent="0.25">
      <c r="A139">
        <v>119</v>
      </c>
      <c r="B139">
        <f t="shared" ca="1" si="12"/>
        <v>0.59299855743515628</v>
      </c>
      <c r="C139">
        <f t="shared" ca="1" si="13"/>
        <v>2.446753725302909</v>
      </c>
      <c r="D139">
        <f t="shared" ca="1" si="14"/>
        <v>-1.4888980078793235</v>
      </c>
      <c r="E139">
        <f t="shared" ca="1" si="15"/>
        <v>1</v>
      </c>
      <c r="F139">
        <f t="shared" ca="1" si="16"/>
        <v>-1.4888980078793235</v>
      </c>
      <c r="G139" t="e">
        <f t="shared" ca="1" si="17"/>
        <v>#N/A</v>
      </c>
      <c r="H139" t="e">
        <f>NA()</f>
        <v>#N/A</v>
      </c>
      <c r="I139" t="e">
        <f>NA()</f>
        <v>#N/A</v>
      </c>
      <c r="J139" t="e">
        <f>NA()</f>
        <v>#N/A</v>
      </c>
      <c r="K139" t="e">
        <f>NA()</f>
        <v>#N/A</v>
      </c>
    </row>
    <row r="140" spans="1:11" x14ac:dyDescent="0.25">
      <c r="A140">
        <v>120</v>
      </c>
      <c r="B140">
        <f t="shared" ca="1" si="12"/>
        <v>0.49571039507929882</v>
      </c>
      <c r="C140">
        <f t="shared" ca="1" si="13"/>
        <v>-0.65213511293938364</v>
      </c>
      <c r="D140">
        <f t="shared" ca="1" si="14"/>
        <v>-0.56349437381790679</v>
      </c>
      <c r="E140">
        <f t="shared" ca="1" si="15"/>
        <v>1</v>
      </c>
      <c r="F140">
        <f t="shared" ca="1" si="16"/>
        <v>-0.56349437381790679</v>
      </c>
      <c r="G140" t="e">
        <f t="shared" ca="1" si="17"/>
        <v>#N/A</v>
      </c>
      <c r="H140" t="e">
        <f>NA()</f>
        <v>#N/A</v>
      </c>
      <c r="I140" t="e">
        <f>NA()</f>
        <v>#N/A</v>
      </c>
      <c r="J140" t="e">
        <f>NA()</f>
        <v>#N/A</v>
      </c>
      <c r="K140" t="e">
        <f>NA()</f>
        <v>#N/A</v>
      </c>
    </row>
    <row r="141" spans="1:11" x14ac:dyDescent="0.25">
      <c r="A141">
        <v>121</v>
      </c>
      <c r="B141">
        <f t="shared" ca="1" si="12"/>
        <v>0.97362641195428801</v>
      </c>
      <c r="C141">
        <f t="shared" ca="1" si="13"/>
        <v>4.4514112231459633</v>
      </c>
      <c r="D141">
        <f t="shared" ca="1" si="14"/>
        <v>3.4398046120375452</v>
      </c>
      <c r="E141">
        <f t="shared" ca="1" si="15"/>
        <v>2</v>
      </c>
      <c r="F141" t="e">
        <f t="shared" ca="1" si="16"/>
        <v>#N/A</v>
      </c>
      <c r="G141">
        <f t="shared" ca="1" si="17"/>
        <v>3.4398046120375452</v>
      </c>
      <c r="H141" t="e">
        <f>NA()</f>
        <v>#N/A</v>
      </c>
      <c r="I141" t="e">
        <f>NA()</f>
        <v>#N/A</v>
      </c>
      <c r="J141" t="e">
        <f>NA()</f>
        <v>#N/A</v>
      </c>
      <c r="K141" t="e">
        <f>NA()</f>
        <v>#N/A</v>
      </c>
    </row>
    <row r="142" spans="1:11" x14ac:dyDescent="0.25">
      <c r="A142">
        <v>122</v>
      </c>
      <c r="B142">
        <f t="shared" ca="1" si="12"/>
        <v>8.129610001321208E-2</v>
      </c>
      <c r="C142">
        <f t="shared" ca="1" si="13"/>
        <v>1.6512116879707235</v>
      </c>
      <c r="D142">
        <f t="shared" ca="1" si="14"/>
        <v>-1.6739622441489002</v>
      </c>
      <c r="E142">
        <f t="shared" ca="1" si="15"/>
        <v>1</v>
      </c>
      <c r="F142">
        <f t="shared" ca="1" si="16"/>
        <v>-1.6739622441489002</v>
      </c>
      <c r="G142" t="e">
        <f t="shared" ca="1" si="17"/>
        <v>#N/A</v>
      </c>
      <c r="H142" t="e">
        <f>NA()</f>
        <v>#N/A</v>
      </c>
      <c r="I142" t="e">
        <f>NA()</f>
        <v>#N/A</v>
      </c>
      <c r="J142" t="e">
        <f>NA()</f>
        <v>#N/A</v>
      </c>
      <c r="K142" t="e">
        <f>NA()</f>
        <v>#N/A</v>
      </c>
    </row>
    <row r="143" spans="1:11" x14ac:dyDescent="0.25">
      <c r="A143">
        <v>123</v>
      </c>
      <c r="B143">
        <f t="shared" ca="1" si="12"/>
        <v>0.34980542762709144</v>
      </c>
      <c r="C143">
        <f t="shared" ca="1" si="13"/>
        <v>0.98982188847871233</v>
      </c>
      <c r="D143">
        <f t="shared" ca="1" si="14"/>
        <v>-0.57264252325581932</v>
      </c>
      <c r="E143">
        <f t="shared" ca="1" si="15"/>
        <v>1</v>
      </c>
      <c r="F143">
        <f t="shared" ca="1" si="16"/>
        <v>-0.57264252325581932</v>
      </c>
      <c r="G143" t="e">
        <f t="shared" ca="1" si="17"/>
        <v>#N/A</v>
      </c>
      <c r="H143" t="e">
        <f>NA()</f>
        <v>#N/A</v>
      </c>
      <c r="I143" t="e">
        <f>NA()</f>
        <v>#N/A</v>
      </c>
      <c r="J143" t="e">
        <f>NA()</f>
        <v>#N/A</v>
      </c>
      <c r="K143" t="e">
        <f>NA()</f>
        <v>#N/A</v>
      </c>
    </row>
    <row r="144" spans="1:11" x14ac:dyDescent="0.25">
      <c r="A144">
        <v>124</v>
      </c>
      <c r="B144">
        <f t="shared" ca="1" si="12"/>
        <v>0.48693884961787914</v>
      </c>
      <c r="C144">
        <f t="shared" ca="1" si="13"/>
        <v>-2.1385232596249035</v>
      </c>
      <c r="D144">
        <f t="shared" ca="1" si="14"/>
        <v>0.1027596456376057</v>
      </c>
      <c r="E144">
        <f t="shared" ca="1" si="15"/>
        <v>1</v>
      </c>
      <c r="F144">
        <f t="shared" ca="1" si="16"/>
        <v>0.1027596456376057</v>
      </c>
      <c r="G144" t="e">
        <f t="shared" ca="1" si="17"/>
        <v>#N/A</v>
      </c>
      <c r="H144" t="e">
        <f>NA()</f>
        <v>#N/A</v>
      </c>
      <c r="I144" t="e">
        <f>NA()</f>
        <v>#N/A</v>
      </c>
      <c r="J144" t="e">
        <f>NA()</f>
        <v>#N/A</v>
      </c>
      <c r="K144" t="e">
        <f>NA()</f>
        <v>#N/A</v>
      </c>
    </row>
    <row r="145" spans="1:11" x14ac:dyDescent="0.25">
      <c r="A145">
        <v>125</v>
      </c>
      <c r="B145">
        <f t="shared" ca="1" si="12"/>
        <v>0.232685813201434</v>
      </c>
      <c r="C145">
        <f t="shared" ca="1" si="13"/>
        <v>-1.5123586383448058</v>
      </c>
      <c r="D145">
        <f t="shared" ca="1" si="14"/>
        <v>1.3771736658787108</v>
      </c>
      <c r="E145">
        <f t="shared" ca="1" si="15"/>
        <v>1</v>
      </c>
      <c r="F145">
        <f t="shared" ca="1" si="16"/>
        <v>1.3771736658787108</v>
      </c>
      <c r="G145" t="e">
        <f t="shared" ca="1" si="17"/>
        <v>#N/A</v>
      </c>
      <c r="H145" t="e">
        <f>NA()</f>
        <v>#N/A</v>
      </c>
      <c r="I145" t="e">
        <f>NA()</f>
        <v>#N/A</v>
      </c>
      <c r="J145" t="e">
        <f>NA()</f>
        <v>#N/A</v>
      </c>
      <c r="K145" t="e">
        <f>NA()</f>
        <v>#N/A</v>
      </c>
    </row>
    <row r="146" spans="1:11" x14ac:dyDescent="0.25">
      <c r="A146">
        <v>126</v>
      </c>
      <c r="B146">
        <f t="shared" ca="1" si="12"/>
        <v>0.13845986035435975</v>
      </c>
      <c r="C146">
        <f t="shared" ca="1" si="13"/>
        <v>0.54798959132812064</v>
      </c>
      <c r="D146">
        <f t="shared" ca="1" si="14"/>
        <v>0.97021428368921037</v>
      </c>
      <c r="E146">
        <f t="shared" ca="1" si="15"/>
        <v>1</v>
      </c>
      <c r="F146">
        <f t="shared" ca="1" si="16"/>
        <v>0.97021428368921037</v>
      </c>
      <c r="G146" t="e">
        <f t="shared" ca="1" si="17"/>
        <v>#N/A</v>
      </c>
      <c r="H146" t="e">
        <f>NA()</f>
        <v>#N/A</v>
      </c>
      <c r="I146" t="e">
        <f>NA()</f>
        <v>#N/A</v>
      </c>
      <c r="J146" t="e">
        <f>NA()</f>
        <v>#N/A</v>
      </c>
      <c r="K146" t="e">
        <f>NA()</f>
        <v>#N/A</v>
      </c>
    </row>
    <row r="147" spans="1:11" x14ac:dyDescent="0.25">
      <c r="A147">
        <v>127</v>
      </c>
      <c r="B147">
        <f t="shared" ca="1" si="12"/>
        <v>0.78340828846696298</v>
      </c>
      <c r="C147">
        <f t="shared" ca="1" si="13"/>
        <v>5.3473583347029621</v>
      </c>
      <c r="D147">
        <f t="shared" ca="1" si="14"/>
        <v>6.1925983225616816</v>
      </c>
      <c r="E147">
        <f t="shared" ca="1" si="15"/>
        <v>2</v>
      </c>
      <c r="F147" t="e">
        <f t="shared" ca="1" si="16"/>
        <v>#N/A</v>
      </c>
      <c r="G147">
        <f t="shared" ca="1" si="17"/>
        <v>6.1925983225616816</v>
      </c>
      <c r="H147" t="e">
        <f>NA()</f>
        <v>#N/A</v>
      </c>
      <c r="I147" t="e">
        <f>NA()</f>
        <v>#N/A</v>
      </c>
      <c r="J147" t="e">
        <f>NA()</f>
        <v>#N/A</v>
      </c>
      <c r="K147" t="e">
        <f>NA()</f>
        <v>#N/A</v>
      </c>
    </row>
    <row r="148" spans="1:11" x14ac:dyDescent="0.25">
      <c r="A148">
        <v>128</v>
      </c>
      <c r="B148">
        <f t="shared" ca="1" si="12"/>
        <v>0.91523207390451278</v>
      </c>
      <c r="C148">
        <f t="shared" ca="1" si="13"/>
        <v>3.1309233105640586</v>
      </c>
      <c r="D148">
        <f t="shared" ca="1" si="14"/>
        <v>2.9289546314728963</v>
      </c>
      <c r="E148">
        <f t="shared" ca="1" si="15"/>
        <v>2</v>
      </c>
      <c r="F148" t="e">
        <f t="shared" ca="1" si="16"/>
        <v>#N/A</v>
      </c>
      <c r="G148">
        <f t="shared" ca="1" si="17"/>
        <v>2.9289546314728963</v>
      </c>
      <c r="H148" t="e">
        <f>NA()</f>
        <v>#N/A</v>
      </c>
      <c r="I148" t="e">
        <f>NA()</f>
        <v>#N/A</v>
      </c>
      <c r="J148" t="e">
        <f>NA()</f>
        <v>#N/A</v>
      </c>
      <c r="K148" t="e">
        <f>NA()</f>
        <v>#N/A</v>
      </c>
    </row>
    <row r="149" spans="1:11" x14ac:dyDescent="0.25">
      <c r="A149">
        <v>129</v>
      </c>
      <c r="B149">
        <f t="shared" ref="B149:B212" ca="1" si="18">RAND()</f>
        <v>0.567575420232586</v>
      </c>
      <c r="C149">
        <f t="shared" ref="C149:C212" ca="1" si="19">IF(E149=1,_xlfn.NORM.INV(RAND(),$D$4,$G$4),_xlfn.NORM.INV(RAND(),$D$14,$G$14))</f>
        <v>-1.7585082687241269</v>
      </c>
      <c r="D149">
        <f t="shared" ref="D149:D212" ca="1" si="20">IF(E149=1,_xlfn.NORM.INV(RAND(),$D$5-$L$4/$K$4*(C149-$D$4),SQRT(1/(2*$K$4))),_xlfn.NORM.INV(RAND(),$D$15-$L$14/$K$14*(C149-$D$14),SQRT(1/(2*$K$14))))</f>
        <v>-4.4589271536046859E-3</v>
      </c>
      <c r="E149">
        <f t="shared" ref="E149:E212" ca="1" si="21">IF(B149&lt;$H$1,1,2)</f>
        <v>1</v>
      </c>
      <c r="F149">
        <f t="shared" ca="1" si="16"/>
        <v>-4.4589271536046859E-3</v>
      </c>
      <c r="G149" t="e">
        <f t="shared" ca="1" si="17"/>
        <v>#N/A</v>
      </c>
      <c r="H149" t="e">
        <f>NA()</f>
        <v>#N/A</v>
      </c>
      <c r="I149" t="e">
        <f>NA()</f>
        <v>#N/A</v>
      </c>
      <c r="J149" t="e">
        <f>NA()</f>
        <v>#N/A</v>
      </c>
      <c r="K149" t="e">
        <f>NA()</f>
        <v>#N/A</v>
      </c>
    </row>
    <row r="150" spans="1:11" x14ac:dyDescent="0.25">
      <c r="A150">
        <v>130</v>
      </c>
      <c r="B150">
        <f t="shared" ca="1" si="18"/>
        <v>0.72072135195935449</v>
      </c>
      <c r="C150">
        <f t="shared" ca="1" si="19"/>
        <v>3.9006194077118446</v>
      </c>
      <c r="D150">
        <f t="shared" ca="1" si="20"/>
        <v>3.6506486576802244</v>
      </c>
      <c r="E150">
        <f t="shared" ca="1" si="21"/>
        <v>2</v>
      </c>
      <c r="F150" t="e">
        <f t="shared" ref="F150:F213" ca="1" si="22">IF($E150=1,D150,NA())</f>
        <v>#N/A</v>
      </c>
      <c r="G150">
        <f t="shared" ref="G150:G213" ca="1" si="23">IF($E150=2,D150,NA())</f>
        <v>3.6506486576802244</v>
      </c>
      <c r="H150" t="e">
        <f>NA()</f>
        <v>#N/A</v>
      </c>
      <c r="I150" t="e">
        <f>NA()</f>
        <v>#N/A</v>
      </c>
      <c r="J150" t="e">
        <f>NA()</f>
        <v>#N/A</v>
      </c>
      <c r="K150" t="e">
        <f>NA()</f>
        <v>#N/A</v>
      </c>
    </row>
    <row r="151" spans="1:11" x14ac:dyDescent="0.25">
      <c r="A151">
        <v>131</v>
      </c>
      <c r="B151">
        <f t="shared" ca="1" si="18"/>
        <v>0.39085688024191501</v>
      </c>
      <c r="C151">
        <f t="shared" ca="1" si="19"/>
        <v>-0.93306800953930202</v>
      </c>
      <c r="D151">
        <f t="shared" ca="1" si="20"/>
        <v>-1.0762036791955865E-4</v>
      </c>
      <c r="E151">
        <f t="shared" ca="1" si="21"/>
        <v>1</v>
      </c>
      <c r="F151">
        <f t="shared" ca="1" si="22"/>
        <v>-1.0762036791955865E-4</v>
      </c>
      <c r="G151" t="e">
        <f t="shared" ca="1" si="23"/>
        <v>#N/A</v>
      </c>
      <c r="H151" t="e">
        <f>NA()</f>
        <v>#N/A</v>
      </c>
      <c r="I151" t="e">
        <f>NA()</f>
        <v>#N/A</v>
      </c>
      <c r="J151" t="e">
        <f>NA()</f>
        <v>#N/A</v>
      </c>
      <c r="K151" t="e">
        <f>NA()</f>
        <v>#N/A</v>
      </c>
    </row>
    <row r="152" spans="1:11" x14ac:dyDescent="0.25">
      <c r="A152">
        <v>132</v>
      </c>
      <c r="B152">
        <f t="shared" ca="1" si="18"/>
        <v>0.73738525992542903</v>
      </c>
      <c r="C152">
        <f t="shared" ca="1" si="19"/>
        <v>3.4748913301073623</v>
      </c>
      <c r="D152">
        <f t="shared" ca="1" si="20"/>
        <v>1.0614032807271991</v>
      </c>
      <c r="E152">
        <f t="shared" ca="1" si="21"/>
        <v>2</v>
      </c>
      <c r="F152" t="e">
        <f t="shared" ca="1" si="22"/>
        <v>#N/A</v>
      </c>
      <c r="G152">
        <f t="shared" ca="1" si="23"/>
        <v>1.0614032807271991</v>
      </c>
      <c r="H152" t="e">
        <f>NA()</f>
        <v>#N/A</v>
      </c>
      <c r="I152" t="e">
        <f>NA()</f>
        <v>#N/A</v>
      </c>
      <c r="J152" t="e">
        <f>NA()</f>
        <v>#N/A</v>
      </c>
      <c r="K152" t="e">
        <f>NA()</f>
        <v>#N/A</v>
      </c>
    </row>
    <row r="153" spans="1:11" x14ac:dyDescent="0.25">
      <c r="A153">
        <v>133</v>
      </c>
      <c r="B153">
        <f t="shared" ca="1" si="18"/>
        <v>0.23146176159339038</v>
      </c>
      <c r="C153">
        <f t="shared" ca="1" si="19"/>
        <v>1.499437658775314</v>
      </c>
      <c r="D153">
        <f t="shared" ca="1" si="20"/>
        <v>-0.13579471540328777</v>
      </c>
      <c r="E153">
        <f t="shared" ca="1" si="21"/>
        <v>1</v>
      </c>
      <c r="F153">
        <f t="shared" ca="1" si="22"/>
        <v>-0.13579471540328777</v>
      </c>
      <c r="G153" t="e">
        <f t="shared" ca="1" si="23"/>
        <v>#N/A</v>
      </c>
      <c r="H153" t="e">
        <f>NA()</f>
        <v>#N/A</v>
      </c>
      <c r="I153" t="e">
        <f>NA()</f>
        <v>#N/A</v>
      </c>
      <c r="J153" t="e">
        <f>NA()</f>
        <v>#N/A</v>
      </c>
      <c r="K153" t="e">
        <f>NA()</f>
        <v>#N/A</v>
      </c>
    </row>
    <row r="154" spans="1:11" x14ac:dyDescent="0.25">
      <c r="A154">
        <v>134</v>
      </c>
      <c r="B154">
        <f t="shared" ca="1" si="18"/>
        <v>0.73380118857920207</v>
      </c>
      <c r="C154">
        <f t="shared" ca="1" si="19"/>
        <v>3.3858874431885755</v>
      </c>
      <c r="D154">
        <f t="shared" ca="1" si="20"/>
        <v>6.3678415114537206</v>
      </c>
      <c r="E154">
        <f t="shared" ca="1" si="21"/>
        <v>2</v>
      </c>
      <c r="F154" t="e">
        <f t="shared" ca="1" si="22"/>
        <v>#N/A</v>
      </c>
      <c r="G154">
        <f t="shared" ca="1" si="23"/>
        <v>6.3678415114537206</v>
      </c>
      <c r="H154" t="e">
        <f>NA()</f>
        <v>#N/A</v>
      </c>
      <c r="I154" t="e">
        <f>NA()</f>
        <v>#N/A</v>
      </c>
      <c r="J154" t="e">
        <f>NA()</f>
        <v>#N/A</v>
      </c>
      <c r="K154" t="e">
        <f>NA()</f>
        <v>#N/A</v>
      </c>
    </row>
    <row r="155" spans="1:11" x14ac:dyDescent="0.25">
      <c r="A155">
        <v>135</v>
      </c>
      <c r="B155">
        <f t="shared" ca="1" si="18"/>
        <v>0.15225459521229578</v>
      </c>
      <c r="C155">
        <f t="shared" ca="1" si="19"/>
        <v>0.2686258594459438</v>
      </c>
      <c r="D155">
        <f t="shared" ca="1" si="20"/>
        <v>1.1554071438879405</v>
      </c>
      <c r="E155">
        <f t="shared" ca="1" si="21"/>
        <v>1</v>
      </c>
      <c r="F155">
        <f t="shared" ca="1" si="22"/>
        <v>1.1554071438879405</v>
      </c>
      <c r="G155" t="e">
        <f t="shared" ca="1" si="23"/>
        <v>#N/A</v>
      </c>
      <c r="H155" t="e">
        <f>NA()</f>
        <v>#N/A</v>
      </c>
      <c r="I155" t="e">
        <f>NA()</f>
        <v>#N/A</v>
      </c>
      <c r="J155" t="e">
        <f>NA()</f>
        <v>#N/A</v>
      </c>
      <c r="K155" t="e">
        <f>NA()</f>
        <v>#N/A</v>
      </c>
    </row>
    <row r="156" spans="1:11" x14ac:dyDescent="0.25">
      <c r="A156">
        <v>136</v>
      </c>
      <c r="B156">
        <f t="shared" ca="1" si="18"/>
        <v>0.44279086867419404</v>
      </c>
      <c r="C156">
        <f t="shared" ca="1" si="19"/>
        <v>0.35178038030853365</v>
      </c>
      <c r="D156">
        <f t="shared" ca="1" si="20"/>
        <v>-1.6764691033589678</v>
      </c>
      <c r="E156">
        <f t="shared" ca="1" si="21"/>
        <v>1</v>
      </c>
      <c r="F156">
        <f t="shared" ca="1" si="22"/>
        <v>-1.6764691033589678</v>
      </c>
      <c r="G156" t="e">
        <f t="shared" ca="1" si="23"/>
        <v>#N/A</v>
      </c>
      <c r="H156" t="e">
        <f>NA()</f>
        <v>#N/A</v>
      </c>
      <c r="I156" t="e">
        <f>NA()</f>
        <v>#N/A</v>
      </c>
      <c r="J156" t="e">
        <f>NA()</f>
        <v>#N/A</v>
      </c>
      <c r="K156" t="e">
        <f>NA()</f>
        <v>#N/A</v>
      </c>
    </row>
    <row r="157" spans="1:11" x14ac:dyDescent="0.25">
      <c r="A157">
        <v>137</v>
      </c>
      <c r="B157">
        <f t="shared" ca="1" si="18"/>
        <v>0.16225459492535332</v>
      </c>
      <c r="C157">
        <f t="shared" ca="1" si="19"/>
        <v>-2.5271803778105908</v>
      </c>
      <c r="D157">
        <f t="shared" ca="1" si="20"/>
        <v>1.0564675289823449</v>
      </c>
      <c r="E157">
        <f t="shared" ca="1" si="21"/>
        <v>1</v>
      </c>
      <c r="F157">
        <f t="shared" ca="1" si="22"/>
        <v>1.0564675289823449</v>
      </c>
      <c r="G157" t="e">
        <f t="shared" ca="1" si="23"/>
        <v>#N/A</v>
      </c>
      <c r="H157" t="e">
        <f>NA()</f>
        <v>#N/A</v>
      </c>
      <c r="I157" t="e">
        <f>NA()</f>
        <v>#N/A</v>
      </c>
      <c r="J157" t="e">
        <f>NA()</f>
        <v>#N/A</v>
      </c>
      <c r="K157" t="e">
        <f>NA()</f>
        <v>#N/A</v>
      </c>
    </row>
    <row r="158" spans="1:11" x14ac:dyDescent="0.25">
      <c r="A158">
        <v>138</v>
      </c>
      <c r="B158">
        <f t="shared" ca="1" si="18"/>
        <v>0.96321378219743536</v>
      </c>
      <c r="C158">
        <f t="shared" ca="1" si="19"/>
        <v>4.4240986294774434</v>
      </c>
      <c r="D158">
        <f t="shared" ca="1" si="20"/>
        <v>2.9400003964853676</v>
      </c>
      <c r="E158">
        <f t="shared" ca="1" si="21"/>
        <v>2</v>
      </c>
      <c r="F158" t="e">
        <f t="shared" ca="1" si="22"/>
        <v>#N/A</v>
      </c>
      <c r="G158">
        <f t="shared" ca="1" si="23"/>
        <v>2.9400003964853676</v>
      </c>
      <c r="H158" t="e">
        <f>NA()</f>
        <v>#N/A</v>
      </c>
      <c r="I158" t="e">
        <f>NA()</f>
        <v>#N/A</v>
      </c>
      <c r="J158" t="e">
        <f>NA()</f>
        <v>#N/A</v>
      </c>
      <c r="K158" t="e">
        <f>NA()</f>
        <v>#N/A</v>
      </c>
    </row>
    <row r="159" spans="1:11" x14ac:dyDescent="0.25">
      <c r="A159">
        <v>139</v>
      </c>
      <c r="B159">
        <f t="shared" ca="1" si="18"/>
        <v>0.50942762204901715</v>
      </c>
      <c r="C159">
        <f t="shared" ca="1" si="19"/>
        <v>1.626476483469119</v>
      </c>
      <c r="D159">
        <f t="shared" ca="1" si="20"/>
        <v>0.58757421410621902</v>
      </c>
      <c r="E159">
        <f t="shared" ca="1" si="21"/>
        <v>1</v>
      </c>
      <c r="F159">
        <f t="shared" ca="1" si="22"/>
        <v>0.58757421410621902</v>
      </c>
      <c r="G159" t="e">
        <f t="shared" ca="1" si="23"/>
        <v>#N/A</v>
      </c>
      <c r="H159" t="e">
        <f>NA()</f>
        <v>#N/A</v>
      </c>
      <c r="I159" t="e">
        <f>NA()</f>
        <v>#N/A</v>
      </c>
      <c r="J159" t="e">
        <f>NA()</f>
        <v>#N/A</v>
      </c>
      <c r="K159" t="e">
        <f>NA()</f>
        <v>#N/A</v>
      </c>
    </row>
    <row r="160" spans="1:11" x14ac:dyDescent="0.25">
      <c r="A160">
        <v>140</v>
      </c>
      <c r="B160">
        <f t="shared" ca="1" si="18"/>
        <v>0.98146322571805533</v>
      </c>
      <c r="C160">
        <f t="shared" ca="1" si="19"/>
        <v>3.0358206715476266</v>
      </c>
      <c r="D160">
        <f t="shared" ca="1" si="20"/>
        <v>4.1771814679894641</v>
      </c>
      <c r="E160">
        <f t="shared" ca="1" si="21"/>
        <v>2</v>
      </c>
      <c r="F160" t="e">
        <f t="shared" ca="1" si="22"/>
        <v>#N/A</v>
      </c>
      <c r="G160">
        <f t="shared" ca="1" si="23"/>
        <v>4.1771814679894641</v>
      </c>
      <c r="H160" t="e">
        <f>NA()</f>
        <v>#N/A</v>
      </c>
      <c r="I160" t="e">
        <f>NA()</f>
        <v>#N/A</v>
      </c>
      <c r="J160" t="e">
        <f>NA()</f>
        <v>#N/A</v>
      </c>
      <c r="K160" t="e">
        <f>NA()</f>
        <v>#N/A</v>
      </c>
    </row>
    <row r="161" spans="1:11" x14ac:dyDescent="0.25">
      <c r="A161">
        <v>141</v>
      </c>
      <c r="B161">
        <f t="shared" ca="1" si="18"/>
        <v>0.14297914163871184</v>
      </c>
      <c r="C161">
        <f t="shared" ca="1" si="19"/>
        <v>-1.039801598174301</v>
      </c>
      <c r="D161">
        <f t="shared" ca="1" si="20"/>
        <v>1.4769536332694182</v>
      </c>
      <c r="E161">
        <f t="shared" ca="1" si="21"/>
        <v>1</v>
      </c>
      <c r="F161">
        <f t="shared" ca="1" si="22"/>
        <v>1.4769536332694182</v>
      </c>
      <c r="G161" t="e">
        <f t="shared" ca="1" si="23"/>
        <v>#N/A</v>
      </c>
      <c r="H161" t="e">
        <f>NA()</f>
        <v>#N/A</v>
      </c>
      <c r="I161" t="e">
        <f>NA()</f>
        <v>#N/A</v>
      </c>
      <c r="J161" t="e">
        <f>NA()</f>
        <v>#N/A</v>
      </c>
      <c r="K161" t="e">
        <f>NA()</f>
        <v>#N/A</v>
      </c>
    </row>
    <row r="162" spans="1:11" x14ac:dyDescent="0.25">
      <c r="A162">
        <v>142</v>
      </c>
      <c r="B162">
        <f t="shared" ca="1" si="18"/>
        <v>0.62553412288887289</v>
      </c>
      <c r="C162">
        <f t="shared" ca="1" si="19"/>
        <v>5.184696646153685</v>
      </c>
      <c r="D162">
        <f t="shared" ca="1" si="20"/>
        <v>2.4792503921964006</v>
      </c>
      <c r="E162">
        <f t="shared" ca="1" si="21"/>
        <v>2</v>
      </c>
      <c r="F162" t="e">
        <f t="shared" ca="1" si="22"/>
        <v>#N/A</v>
      </c>
      <c r="G162">
        <f t="shared" ca="1" si="23"/>
        <v>2.4792503921964006</v>
      </c>
      <c r="H162" t="e">
        <f>NA()</f>
        <v>#N/A</v>
      </c>
      <c r="I162" t="e">
        <f>NA()</f>
        <v>#N/A</v>
      </c>
      <c r="J162" t="e">
        <f>NA()</f>
        <v>#N/A</v>
      </c>
      <c r="K162" t="e">
        <f>NA()</f>
        <v>#N/A</v>
      </c>
    </row>
    <row r="163" spans="1:11" x14ac:dyDescent="0.25">
      <c r="A163">
        <v>143</v>
      </c>
      <c r="B163">
        <f t="shared" ca="1" si="18"/>
        <v>0.44901455336468976</v>
      </c>
      <c r="C163">
        <f t="shared" ca="1" si="19"/>
        <v>-1.4227686609126553</v>
      </c>
      <c r="D163">
        <f t="shared" ca="1" si="20"/>
        <v>1.5238652627073193</v>
      </c>
      <c r="E163">
        <f t="shared" ca="1" si="21"/>
        <v>1</v>
      </c>
      <c r="F163">
        <f t="shared" ca="1" si="22"/>
        <v>1.5238652627073193</v>
      </c>
      <c r="G163" t="e">
        <f t="shared" ca="1" si="23"/>
        <v>#N/A</v>
      </c>
      <c r="H163" t="e">
        <f>NA()</f>
        <v>#N/A</v>
      </c>
      <c r="I163" t="e">
        <f>NA()</f>
        <v>#N/A</v>
      </c>
      <c r="J163" t="e">
        <f>NA()</f>
        <v>#N/A</v>
      </c>
      <c r="K163" t="e">
        <f>NA()</f>
        <v>#N/A</v>
      </c>
    </row>
    <row r="164" spans="1:11" x14ac:dyDescent="0.25">
      <c r="A164">
        <v>144</v>
      </c>
      <c r="B164">
        <f t="shared" ca="1" si="18"/>
        <v>0.21474303476525303</v>
      </c>
      <c r="C164">
        <f t="shared" ca="1" si="19"/>
        <v>1.2726720332626791</v>
      </c>
      <c r="D164">
        <f t="shared" ca="1" si="20"/>
        <v>-0.30026087419311798</v>
      </c>
      <c r="E164">
        <f t="shared" ca="1" si="21"/>
        <v>1</v>
      </c>
      <c r="F164">
        <f t="shared" ca="1" si="22"/>
        <v>-0.30026087419311798</v>
      </c>
      <c r="G164" t="e">
        <f t="shared" ca="1" si="23"/>
        <v>#N/A</v>
      </c>
      <c r="H164" t="e">
        <f>NA()</f>
        <v>#N/A</v>
      </c>
      <c r="I164" t="e">
        <f>NA()</f>
        <v>#N/A</v>
      </c>
      <c r="J164" t="e">
        <f>NA()</f>
        <v>#N/A</v>
      </c>
      <c r="K164" t="e">
        <f>NA()</f>
        <v>#N/A</v>
      </c>
    </row>
    <row r="165" spans="1:11" x14ac:dyDescent="0.25">
      <c r="A165">
        <v>145</v>
      </c>
      <c r="B165">
        <f t="shared" ca="1" si="18"/>
        <v>4.8631259242169378E-2</v>
      </c>
      <c r="C165">
        <f t="shared" ca="1" si="19"/>
        <v>0.89524184637730964</v>
      </c>
      <c r="D165">
        <f t="shared" ca="1" si="20"/>
        <v>-0.31437405629792881</v>
      </c>
      <c r="E165">
        <f t="shared" ca="1" si="21"/>
        <v>1</v>
      </c>
      <c r="F165">
        <f t="shared" ca="1" si="22"/>
        <v>-0.31437405629792881</v>
      </c>
      <c r="G165" t="e">
        <f t="shared" ca="1" si="23"/>
        <v>#N/A</v>
      </c>
      <c r="H165" t="e">
        <f>NA()</f>
        <v>#N/A</v>
      </c>
      <c r="I165" t="e">
        <f>NA()</f>
        <v>#N/A</v>
      </c>
      <c r="J165" t="e">
        <f>NA()</f>
        <v>#N/A</v>
      </c>
      <c r="K165" t="e">
        <f>NA()</f>
        <v>#N/A</v>
      </c>
    </row>
    <row r="166" spans="1:11" x14ac:dyDescent="0.25">
      <c r="A166">
        <v>146</v>
      </c>
      <c r="B166">
        <f t="shared" ca="1" si="18"/>
        <v>0.40819861382482325</v>
      </c>
      <c r="C166">
        <f t="shared" ca="1" si="19"/>
        <v>1.3491766134171987</v>
      </c>
      <c r="D166">
        <f t="shared" ca="1" si="20"/>
        <v>-4.7227199785103147E-2</v>
      </c>
      <c r="E166">
        <f t="shared" ca="1" si="21"/>
        <v>1</v>
      </c>
      <c r="F166">
        <f t="shared" ca="1" si="22"/>
        <v>-4.7227199785103147E-2</v>
      </c>
      <c r="G166" t="e">
        <f t="shared" ca="1" si="23"/>
        <v>#N/A</v>
      </c>
      <c r="H166" t="e">
        <f>NA()</f>
        <v>#N/A</v>
      </c>
      <c r="I166" t="e">
        <f>NA()</f>
        <v>#N/A</v>
      </c>
      <c r="J166" t="e">
        <f>NA()</f>
        <v>#N/A</v>
      </c>
      <c r="K166" t="e">
        <f>NA()</f>
        <v>#N/A</v>
      </c>
    </row>
    <row r="167" spans="1:11" x14ac:dyDescent="0.25">
      <c r="A167">
        <v>147</v>
      </c>
      <c r="B167">
        <f t="shared" ca="1" si="18"/>
        <v>0.66984519413018873</v>
      </c>
      <c r="C167">
        <f t="shared" ca="1" si="19"/>
        <v>3.9969401383482484</v>
      </c>
      <c r="D167">
        <f t="shared" ca="1" si="20"/>
        <v>2.5448927870129605</v>
      </c>
      <c r="E167">
        <f t="shared" ca="1" si="21"/>
        <v>2</v>
      </c>
      <c r="F167" t="e">
        <f t="shared" ca="1" si="22"/>
        <v>#N/A</v>
      </c>
      <c r="G167">
        <f t="shared" ca="1" si="23"/>
        <v>2.5448927870129605</v>
      </c>
      <c r="H167" t="e">
        <f>NA()</f>
        <v>#N/A</v>
      </c>
      <c r="I167" t="e">
        <f>NA()</f>
        <v>#N/A</v>
      </c>
      <c r="J167" t="e">
        <f>NA()</f>
        <v>#N/A</v>
      </c>
      <c r="K167" t="e">
        <f>NA()</f>
        <v>#N/A</v>
      </c>
    </row>
    <row r="168" spans="1:11" x14ac:dyDescent="0.25">
      <c r="A168">
        <v>148</v>
      </c>
      <c r="B168">
        <f t="shared" ca="1" si="18"/>
        <v>0.48177766363978158</v>
      </c>
      <c r="C168">
        <f t="shared" ca="1" si="19"/>
        <v>-0.19036128473463695</v>
      </c>
      <c r="D168">
        <f t="shared" ca="1" si="20"/>
        <v>0.85347782321855048</v>
      </c>
      <c r="E168">
        <f t="shared" ca="1" si="21"/>
        <v>1</v>
      </c>
      <c r="F168">
        <f t="shared" ca="1" si="22"/>
        <v>0.85347782321855048</v>
      </c>
      <c r="G168" t="e">
        <f t="shared" ca="1" si="23"/>
        <v>#N/A</v>
      </c>
      <c r="H168" t="e">
        <f>NA()</f>
        <v>#N/A</v>
      </c>
      <c r="I168" t="e">
        <f>NA()</f>
        <v>#N/A</v>
      </c>
      <c r="J168" t="e">
        <f>NA()</f>
        <v>#N/A</v>
      </c>
      <c r="K168" t="e">
        <f>NA()</f>
        <v>#N/A</v>
      </c>
    </row>
    <row r="169" spans="1:11" x14ac:dyDescent="0.25">
      <c r="A169">
        <v>149</v>
      </c>
      <c r="B169">
        <f t="shared" ca="1" si="18"/>
        <v>0.36720055715690514</v>
      </c>
      <c r="C169">
        <f t="shared" ca="1" si="19"/>
        <v>-1.1908448769734779</v>
      </c>
      <c r="D169">
        <f t="shared" ca="1" si="20"/>
        <v>1.0836795107860815</v>
      </c>
      <c r="E169">
        <f t="shared" ca="1" si="21"/>
        <v>1</v>
      </c>
      <c r="F169">
        <f t="shared" ca="1" si="22"/>
        <v>1.0836795107860815</v>
      </c>
      <c r="G169" t="e">
        <f t="shared" ca="1" si="23"/>
        <v>#N/A</v>
      </c>
      <c r="H169" t="e">
        <f>NA()</f>
        <v>#N/A</v>
      </c>
      <c r="I169" t="e">
        <f>NA()</f>
        <v>#N/A</v>
      </c>
      <c r="J169" t="e">
        <f>NA()</f>
        <v>#N/A</v>
      </c>
      <c r="K169" t="e">
        <f>NA()</f>
        <v>#N/A</v>
      </c>
    </row>
    <row r="170" spans="1:11" x14ac:dyDescent="0.25">
      <c r="A170">
        <v>150</v>
      </c>
      <c r="B170">
        <f t="shared" ca="1" si="18"/>
        <v>0.35121025186231414</v>
      </c>
      <c r="C170">
        <f t="shared" ca="1" si="19"/>
        <v>0.26486477699869787</v>
      </c>
      <c r="D170">
        <f t="shared" ca="1" si="20"/>
        <v>-0.5554645957605846</v>
      </c>
      <c r="E170">
        <f t="shared" ca="1" si="21"/>
        <v>1</v>
      </c>
      <c r="F170">
        <f t="shared" ca="1" si="22"/>
        <v>-0.5554645957605846</v>
      </c>
      <c r="G170" t="e">
        <f t="shared" ca="1" si="23"/>
        <v>#N/A</v>
      </c>
      <c r="H170" t="e">
        <f>NA()</f>
        <v>#N/A</v>
      </c>
      <c r="I170" t="e">
        <f>NA()</f>
        <v>#N/A</v>
      </c>
      <c r="J170" t="e">
        <f>NA()</f>
        <v>#N/A</v>
      </c>
      <c r="K170" t="e">
        <f>NA()</f>
        <v>#N/A</v>
      </c>
    </row>
    <row r="171" spans="1:11" x14ac:dyDescent="0.25">
      <c r="A171">
        <v>151</v>
      </c>
      <c r="B171">
        <f t="shared" ca="1" si="18"/>
        <v>0.52876681625707578</v>
      </c>
      <c r="C171">
        <f t="shared" ca="1" si="19"/>
        <v>-0.55114575611707295</v>
      </c>
      <c r="D171">
        <f t="shared" ca="1" si="20"/>
        <v>-0.26204156714551918</v>
      </c>
      <c r="E171">
        <f t="shared" ca="1" si="21"/>
        <v>1</v>
      </c>
      <c r="F171">
        <f t="shared" ca="1" si="22"/>
        <v>-0.26204156714551918</v>
      </c>
      <c r="G171" t="e">
        <f t="shared" ca="1" si="23"/>
        <v>#N/A</v>
      </c>
      <c r="H171" t="e">
        <f>NA()</f>
        <v>#N/A</v>
      </c>
      <c r="I171" t="e">
        <f>NA()</f>
        <v>#N/A</v>
      </c>
      <c r="J171" t="e">
        <f>NA()</f>
        <v>#N/A</v>
      </c>
      <c r="K171" t="e">
        <f>NA()</f>
        <v>#N/A</v>
      </c>
    </row>
    <row r="172" spans="1:11" x14ac:dyDescent="0.25">
      <c r="A172">
        <v>152</v>
      </c>
      <c r="B172">
        <f t="shared" ca="1" si="18"/>
        <v>7.6812663087674315E-2</v>
      </c>
      <c r="C172">
        <f t="shared" ca="1" si="19"/>
        <v>-0.8132106978662218</v>
      </c>
      <c r="D172">
        <f t="shared" ca="1" si="20"/>
        <v>0.95596122233287306</v>
      </c>
      <c r="E172">
        <f t="shared" ca="1" si="21"/>
        <v>1</v>
      </c>
      <c r="F172">
        <f t="shared" ca="1" si="22"/>
        <v>0.95596122233287306</v>
      </c>
      <c r="G172" t="e">
        <f t="shared" ca="1" si="23"/>
        <v>#N/A</v>
      </c>
      <c r="H172" t="e">
        <f>NA()</f>
        <v>#N/A</v>
      </c>
      <c r="I172" t="e">
        <f>NA()</f>
        <v>#N/A</v>
      </c>
      <c r="J172" t="e">
        <f>NA()</f>
        <v>#N/A</v>
      </c>
      <c r="K172" t="e">
        <f>NA()</f>
        <v>#N/A</v>
      </c>
    </row>
    <row r="173" spans="1:11" x14ac:dyDescent="0.25">
      <c r="A173">
        <v>153</v>
      </c>
      <c r="B173">
        <f t="shared" ca="1" si="18"/>
        <v>0.43670149567831962</v>
      </c>
      <c r="C173">
        <f t="shared" ca="1" si="19"/>
        <v>-3.4113754790240498</v>
      </c>
      <c r="D173">
        <f t="shared" ca="1" si="20"/>
        <v>1.632096571034374</v>
      </c>
      <c r="E173">
        <f t="shared" ca="1" si="21"/>
        <v>1</v>
      </c>
      <c r="F173">
        <f t="shared" ca="1" si="22"/>
        <v>1.632096571034374</v>
      </c>
      <c r="G173" t="e">
        <f t="shared" ca="1" si="23"/>
        <v>#N/A</v>
      </c>
      <c r="H173" t="e">
        <f>NA()</f>
        <v>#N/A</v>
      </c>
      <c r="I173" t="e">
        <f>NA()</f>
        <v>#N/A</v>
      </c>
      <c r="J173" t="e">
        <f>NA()</f>
        <v>#N/A</v>
      </c>
      <c r="K173" t="e">
        <f>NA()</f>
        <v>#N/A</v>
      </c>
    </row>
    <row r="174" spans="1:11" x14ac:dyDescent="0.25">
      <c r="A174">
        <v>154</v>
      </c>
      <c r="B174">
        <f t="shared" ca="1" si="18"/>
        <v>0.3901136294398504</v>
      </c>
      <c r="C174">
        <f t="shared" ca="1" si="19"/>
        <v>-0.14786049877928853</v>
      </c>
      <c r="D174">
        <f t="shared" ca="1" si="20"/>
        <v>-1.1240360258104922</v>
      </c>
      <c r="E174">
        <f t="shared" ca="1" si="21"/>
        <v>1</v>
      </c>
      <c r="F174">
        <f t="shared" ca="1" si="22"/>
        <v>-1.1240360258104922</v>
      </c>
      <c r="G174" t="e">
        <f t="shared" ca="1" si="23"/>
        <v>#N/A</v>
      </c>
      <c r="H174" t="e">
        <f>NA()</f>
        <v>#N/A</v>
      </c>
      <c r="I174" t="e">
        <f>NA()</f>
        <v>#N/A</v>
      </c>
      <c r="J174" t="e">
        <f>NA()</f>
        <v>#N/A</v>
      </c>
      <c r="K174" t="e">
        <f>NA()</f>
        <v>#N/A</v>
      </c>
    </row>
    <row r="175" spans="1:11" x14ac:dyDescent="0.25">
      <c r="A175">
        <v>155</v>
      </c>
      <c r="B175">
        <f t="shared" ca="1" si="18"/>
        <v>0.2881686180348505</v>
      </c>
      <c r="C175">
        <f t="shared" ca="1" si="19"/>
        <v>0.55237655676625463</v>
      </c>
      <c r="D175">
        <f t="shared" ca="1" si="20"/>
        <v>0.67958355664490777</v>
      </c>
      <c r="E175">
        <f t="shared" ca="1" si="21"/>
        <v>1</v>
      </c>
      <c r="F175">
        <f t="shared" ca="1" si="22"/>
        <v>0.67958355664490777</v>
      </c>
      <c r="G175" t="e">
        <f t="shared" ca="1" si="23"/>
        <v>#N/A</v>
      </c>
      <c r="H175" t="e">
        <f>NA()</f>
        <v>#N/A</v>
      </c>
      <c r="I175" t="e">
        <f>NA()</f>
        <v>#N/A</v>
      </c>
      <c r="J175" t="e">
        <f>NA()</f>
        <v>#N/A</v>
      </c>
      <c r="K175" t="e">
        <f>NA()</f>
        <v>#N/A</v>
      </c>
    </row>
    <row r="176" spans="1:11" x14ac:dyDescent="0.25">
      <c r="A176">
        <v>156</v>
      </c>
      <c r="B176">
        <f t="shared" ca="1" si="18"/>
        <v>0.52780589534029698</v>
      </c>
      <c r="C176">
        <f t="shared" ca="1" si="19"/>
        <v>-0.40933241592877573</v>
      </c>
      <c r="D176">
        <f t="shared" ca="1" si="20"/>
        <v>-0.20782748356523328</v>
      </c>
      <c r="E176">
        <f t="shared" ca="1" si="21"/>
        <v>1</v>
      </c>
      <c r="F176">
        <f t="shared" ca="1" si="22"/>
        <v>-0.20782748356523328</v>
      </c>
      <c r="G176" t="e">
        <f t="shared" ca="1" si="23"/>
        <v>#N/A</v>
      </c>
      <c r="H176" t="e">
        <f>NA()</f>
        <v>#N/A</v>
      </c>
      <c r="I176" t="e">
        <f>NA()</f>
        <v>#N/A</v>
      </c>
      <c r="J176" t="e">
        <f>NA()</f>
        <v>#N/A</v>
      </c>
      <c r="K176" t="e">
        <f>NA()</f>
        <v>#N/A</v>
      </c>
    </row>
    <row r="177" spans="1:11" x14ac:dyDescent="0.25">
      <c r="A177">
        <v>157</v>
      </c>
      <c r="B177">
        <f t="shared" ca="1" si="18"/>
        <v>0.99288778607667993</v>
      </c>
      <c r="C177">
        <f t="shared" ca="1" si="19"/>
        <v>5.0581191690641427</v>
      </c>
      <c r="D177">
        <f t="shared" ca="1" si="20"/>
        <v>2.5922274012428272</v>
      </c>
      <c r="E177">
        <f t="shared" ca="1" si="21"/>
        <v>2</v>
      </c>
      <c r="F177" t="e">
        <f t="shared" ca="1" si="22"/>
        <v>#N/A</v>
      </c>
      <c r="G177">
        <f t="shared" ca="1" si="23"/>
        <v>2.5922274012428272</v>
      </c>
      <c r="H177" t="e">
        <f>NA()</f>
        <v>#N/A</v>
      </c>
      <c r="I177" t="e">
        <f>NA()</f>
        <v>#N/A</v>
      </c>
      <c r="J177" t="e">
        <f>NA()</f>
        <v>#N/A</v>
      </c>
      <c r="K177" t="e">
        <f>NA()</f>
        <v>#N/A</v>
      </c>
    </row>
    <row r="178" spans="1:11" x14ac:dyDescent="0.25">
      <c r="A178">
        <v>158</v>
      </c>
      <c r="B178">
        <f t="shared" ca="1" si="18"/>
        <v>0.5816997611068615</v>
      </c>
      <c r="C178">
        <f t="shared" ca="1" si="19"/>
        <v>-2.0779330821545012</v>
      </c>
      <c r="D178">
        <f t="shared" ca="1" si="20"/>
        <v>0.37857185145723482</v>
      </c>
      <c r="E178">
        <f t="shared" ca="1" si="21"/>
        <v>1</v>
      </c>
      <c r="F178">
        <f t="shared" ca="1" si="22"/>
        <v>0.37857185145723482</v>
      </c>
      <c r="G178" t="e">
        <f t="shared" ca="1" si="23"/>
        <v>#N/A</v>
      </c>
      <c r="H178" t="e">
        <f>NA()</f>
        <v>#N/A</v>
      </c>
      <c r="I178" t="e">
        <f>NA()</f>
        <v>#N/A</v>
      </c>
      <c r="J178" t="e">
        <f>NA()</f>
        <v>#N/A</v>
      </c>
      <c r="K178" t="e">
        <f>NA()</f>
        <v>#N/A</v>
      </c>
    </row>
    <row r="179" spans="1:11" x14ac:dyDescent="0.25">
      <c r="A179">
        <v>159</v>
      </c>
      <c r="B179">
        <f t="shared" ca="1" si="18"/>
        <v>0.3791735519877395</v>
      </c>
      <c r="C179">
        <f t="shared" ca="1" si="19"/>
        <v>0.88052800774633377</v>
      </c>
      <c r="D179">
        <f t="shared" ca="1" si="20"/>
        <v>6.4579524475935846E-2</v>
      </c>
      <c r="E179">
        <f t="shared" ca="1" si="21"/>
        <v>1</v>
      </c>
      <c r="F179">
        <f t="shared" ca="1" si="22"/>
        <v>6.4579524475935846E-2</v>
      </c>
      <c r="G179" t="e">
        <f t="shared" ca="1" si="23"/>
        <v>#N/A</v>
      </c>
      <c r="H179" t="e">
        <f>NA()</f>
        <v>#N/A</v>
      </c>
      <c r="I179" t="e">
        <f>NA()</f>
        <v>#N/A</v>
      </c>
      <c r="J179" t="e">
        <f>NA()</f>
        <v>#N/A</v>
      </c>
      <c r="K179" t="e">
        <f>NA()</f>
        <v>#N/A</v>
      </c>
    </row>
    <row r="180" spans="1:11" x14ac:dyDescent="0.25">
      <c r="A180">
        <v>160</v>
      </c>
      <c r="B180">
        <f t="shared" ca="1" si="18"/>
        <v>2.0448460820593595E-2</v>
      </c>
      <c r="C180">
        <f t="shared" ca="1" si="19"/>
        <v>0.25096725719237473</v>
      </c>
      <c r="D180">
        <f t="shared" ca="1" si="20"/>
        <v>1.285580401121067</v>
      </c>
      <c r="E180">
        <f t="shared" ca="1" si="21"/>
        <v>1</v>
      </c>
      <c r="F180">
        <f t="shared" ca="1" si="22"/>
        <v>1.285580401121067</v>
      </c>
      <c r="G180" t="e">
        <f t="shared" ca="1" si="23"/>
        <v>#N/A</v>
      </c>
      <c r="H180" t="e">
        <f>NA()</f>
        <v>#N/A</v>
      </c>
      <c r="I180" t="e">
        <f>NA()</f>
        <v>#N/A</v>
      </c>
      <c r="J180" t="e">
        <f>NA()</f>
        <v>#N/A</v>
      </c>
      <c r="K180" t="e">
        <f>NA()</f>
        <v>#N/A</v>
      </c>
    </row>
    <row r="181" spans="1:11" x14ac:dyDescent="0.25">
      <c r="A181">
        <v>161</v>
      </c>
      <c r="B181">
        <f t="shared" ca="1" si="18"/>
        <v>0.61244613325786301</v>
      </c>
      <c r="C181">
        <f t="shared" ca="1" si="19"/>
        <v>6.0998987977947321</v>
      </c>
      <c r="D181">
        <f t="shared" ca="1" si="20"/>
        <v>6.6543401448430952</v>
      </c>
      <c r="E181">
        <f t="shared" ca="1" si="21"/>
        <v>2</v>
      </c>
      <c r="F181" t="e">
        <f t="shared" ca="1" si="22"/>
        <v>#N/A</v>
      </c>
      <c r="G181">
        <f t="shared" ca="1" si="23"/>
        <v>6.6543401448430952</v>
      </c>
      <c r="H181" t="e">
        <f>NA()</f>
        <v>#N/A</v>
      </c>
      <c r="I181" t="e">
        <f>NA()</f>
        <v>#N/A</v>
      </c>
      <c r="J181" t="e">
        <f>NA()</f>
        <v>#N/A</v>
      </c>
      <c r="K181" t="e">
        <f>NA()</f>
        <v>#N/A</v>
      </c>
    </row>
    <row r="182" spans="1:11" x14ac:dyDescent="0.25">
      <c r="A182">
        <v>162</v>
      </c>
      <c r="B182">
        <f t="shared" ca="1" si="18"/>
        <v>0.60239853558160128</v>
      </c>
      <c r="C182">
        <f t="shared" ca="1" si="19"/>
        <v>3.6442627618032009</v>
      </c>
      <c r="D182">
        <f t="shared" ca="1" si="20"/>
        <v>4.1636672674014887</v>
      </c>
      <c r="E182">
        <f t="shared" ca="1" si="21"/>
        <v>2</v>
      </c>
      <c r="F182" t="e">
        <f t="shared" ca="1" si="22"/>
        <v>#N/A</v>
      </c>
      <c r="G182">
        <f t="shared" ca="1" si="23"/>
        <v>4.1636672674014887</v>
      </c>
      <c r="H182" t="e">
        <f>NA()</f>
        <v>#N/A</v>
      </c>
      <c r="I182" t="e">
        <f>NA()</f>
        <v>#N/A</v>
      </c>
      <c r="J182" t="e">
        <f>NA()</f>
        <v>#N/A</v>
      </c>
      <c r="K182" t="e">
        <f>NA()</f>
        <v>#N/A</v>
      </c>
    </row>
    <row r="183" spans="1:11" x14ac:dyDescent="0.25">
      <c r="A183">
        <v>163</v>
      </c>
      <c r="B183">
        <f t="shared" ca="1" si="18"/>
        <v>0.18367430173332611</v>
      </c>
      <c r="C183">
        <f t="shared" ca="1" si="19"/>
        <v>-1.6457112825412648</v>
      </c>
      <c r="D183">
        <f t="shared" ca="1" si="20"/>
        <v>0.7107306569671713</v>
      </c>
      <c r="E183">
        <f t="shared" ca="1" si="21"/>
        <v>1</v>
      </c>
      <c r="F183">
        <f t="shared" ca="1" si="22"/>
        <v>0.7107306569671713</v>
      </c>
      <c r="G183" t="e">
        <f t="shared" ca="1" si="23"/>
        <v>#N/A</v>
      </c>
      <c r="H183" t="e">
        <f>NA()</f>
        <v>#N/A</v>
      </c>
      <c r="I183" t="e">
        <f>NA()</f>
        <v>#N/A</v>
      </c>
      <c r="J183" t="e">
        <f>NA()</f>
        <v>#N/A</v>
      </c>
      <c r="K183" t="e">
        <f>NA()</f>
        <v>#N/A</v>
      </c>
    </row>
    <row r="184" spans="1:11" x14ac:dyDescent="0.25">
      <c r="A184">
        <v>164</v>
      </c>
      <c r="B184">
        <f t="shared" ca="1" si="18"/>
        <v>0.27043510972525875</v>
      </c>
      <c r="C184">
        <f t="shared" ca="1" si="19"/>
        <v>-0.72208935268278074</v>
      </c>
      <c r="D184">
        <f t="shared" ca="1" si="20"/>
        <v>0.3089692588218132</v>
      </c>
      <c r="E184">
        <f t="shared" ca="1" si="21"/>
        <v>1</v>
      </c>
      <c r="F184">
        <f t="shared" ca="1" si="22"/>
        <v>0.3089692588218132</v>
      </c>
      <c r="G184" t="e">
        <f t="shared" ca="1" si="23"/>
        <v>#N/A</v>
      </c>
      <c r="H184" t="e">
        <f>NA()</f>
        <v>#N/A</v>
      </c>
      <c r="I184" t="e">
        <f>NA()</f>
        <v>#N/A</v>
      </c>
      <c r="J184" t="e">
        <f>NA()</f>
        <v>#N/A</v>
      </c>
      <c r="K184" t="e">
        <f>NA()</f>
        <v>#N/A</v>
      </c>
    </row>
    <row r="185" spans="1:11" x14ac:dyDescent="0.25">
      <c r="A185">
        <v>165</v>
      </c>
      <c r="B185">
        <f t="shared" ca="1" si="18"/>
        <v>0.11634109831169148</v>
      </c>
      <c r="C185">
        <f t="shared" ca="1" si="19"/>
        <v>2.4097655360135026</v>
      </c>
      <c r="D185">
        <f t="shared" ca="1" si="20"/>
        <v>-0.58205548460644618</v>
      </c>
      <c r="E185">
        <f t="shared" ca="1" si="21"/>
        <v>1</v>
      </c>
      <c r="F185">
        <f t="shared" ca="1" si="22"/>
        <v>-0.58205548460644618</v>
      </c>
      <c r="G185" t="e">
        <f t="shared" ca="1" si="23"/>
        <v>#N/A</v>
      </c>
      <c r="H185" t="e">
        <f>NA()</f>
        <v>#N/A</v>
      </c>
      <c r="I185" t="e">
        <f>NA()</f>
        <v>#N/A</v>
      </c>
      <c r="J185" t="e">
        <f>NA()</f>
        <v>#N/A</v>
      </c>
      <c r="K185" t="e">
        <f>NA()</f>
        <v>#N/A</v>
      </c>
    </row>
    <row r="186" spans="1:11" x14ac:dyDescent="0.25">
      <c r="A186">
        <v>166</v>
      </c>
      <c r="B186">
        <f t="shared" ca="1" si="18"/>
        <v>0.10393775182716292</v>
      </c>
      <c r="C186">
        <f t="shared" ca="1" si="19"/>
        <v>-0.13819448347534585</v>
      </c>
      <c r="D186">
        <f t="shared" ca="1" si="20"/>
        <v>-0.18296581211667839</v>
      </c>
      <c r="E186">
        <f t="shared" ca="1" si="21"/>
        <v>1</v>
      </c>
      <c r="F186">
        <f t="shared" ca="1" si="22"/>
        <v>-0.18296581211667839</v>
      </c>
      <c r="G186" t="e">
        <f t="shared" ca="1" si="23"/>
        <v>#N/A</v>
      </c>
      <c r="H186" t="e">
        <f>NA()</f>
        <v>#N/A</v>
      </c>
      <c r="I186" t="e">
        <f>NA()</f>
        <v>#N/A</v>
      </c>
      <c r="J186" t="e">
        <f>NA()</f>
        <v>#N/A</v>
      </c>
      <c r="K186" t="e">
        <f>NA()</f>
        <v>#N/A</v>
      </c>
    </row>
    <row r="187" spans="1:11" x14ac:dyDescent="0.25">
      <c r="A187">
        <v>167</v>
      </c>
      <c r="B187">
        <f t="shared" ca="1" si="18"/>
        <v>0.65307682828038238</v>
      </c>
      <c r="C187">
        <f t="shared" ca="1" si="19"/>
        <v>4.9849480793379248</v>
      </c>
      <c r="D187">
        <f t="shared" ca="1" si="20"/>
        <v>3.66800077967341</v>
      </c>
      <c r="E187">
        <f t="shared" ca="1" si="21"/>
        <v>2</v>
      </c>
      <c r="F187" t="e">
        <f t="shared" ca="1" si="22"/>
        <v>#N/A</v>
      </c>
      <c r="G187">
        <f t="shared" ca="1" si="23"/>
        <v>3.66800077967341</v>
      </c>
      <c r="H187" t="e">
        <f>NA()</f>
        <v>#N/A</v>
      </c>
      <c r="I187" t="e">
        <f>NA()</f>
        <v>#N/A</v>
      </c>
      <c r="J187" t="e">
        <f>NA()</f>
        <v>#N/A</v>
      </c>
      <c r="K187" t="e">
        <f>NA()</f>
        <v>#N/A</v>
      </c>
    </row>
    <row r="188" spans="1:11" x14ac:dyDescent="0.25">
      <c r="A188">
        <v>168</v>
      </c>
      <c r="B188">
        <f t="shared" ca="1" si="18"/>
        <v>0.90184668743023344</v>
      </c>
      <c r="C188">
        <f t="shared" ca="1" si="19"/>
        <v>4.8231348214247856</v>
      </c>
      <c r="D188">
        <f t="shared" ca="1" si="20"/>
        <v>3.6736901328310103</v>
      </c>
      <c r="E188">
        <f t="shared" ca="1" si="21"/>
        <v>2</v>
      </c>
      <c r="F188" t="e">
        <f t="shared" ca="1" si="22"/>
        <v>#N/A</v>
      </c>
      <c r="G188">
        <f t="shared" ca="1" si="23"/>
        <v>3.6736901328310103</v>
      </c>
      <c r="H188" t="e">
        <f>NA()</f>
        <v>#N/A</v>
      </c>
      <c r="I188" t="e">
        <f>NA()</f>
        <v>#N/A</v>
      </c>
      <c r="J188" t="e">
        <f>NA()</f>
        <v>#N/A</v>
      </c>
      <c r="K188" t="e">
        <f>NA()</f>
        <v>#N/A</v>
      </c>
    </row>
    <row r="189" spans="1:11" x14ac:dyDescent="0.25">
      <c r="A189">
        <v>169</v>
      </c>
      <c r="B189">
        <f t="shared" ca="1" si="18"/>
        <v>0.63762711085834067</v>
      </c>
      <c r="C189">
        <f t="shared" ca="1" si="19"/>
        <v>3.4587583253804963</v>
      </c>
      <c r="D189">
        <f t="shared" ca="1" si="20"/>
        <v>3.3846527532255415</v>
      </c>
      <c r="E189">
        <f t="shared" ca="1" si="21"/>
        <v>2</v>
      </c>
      <c r="F189" t="e">
        <f t="shared" ca="1" si="22"/>
        <v>#N/A</v>
      </c>
      <c r="G189">
        <f t="shared" ca="1" si="23"/>
        <v>3.3846527532255415</v>
      </c>
      <c r="H189" t="e">
        <f>NA()</f>
        <v>#N/A</v>
      </c>
      <c r="I189" t="e">
        <f>NA()</f>
        <v>#N/A</v>
      </c>
      <c r="J189" t="e">
        <f>NA()</f>
        <v>#N/A</v>
      </c>
      <c r="K189" t="e">
        <f>NA()</f>
        <v>#N/A</v>
      </c>
    </row>
    <row r="190" spans="1:11" x14ac:dyDescent="0.25">
      <c r="A190">
        <v>170</v>
      </c>
      <c r="B190">
        <f t="shared" ca="1" si="18"/>
        <v>0.93012407410416853</v>
      </c>
      <c r="C190">
        <f t="shared" ca="1" si="19"/>
        <v>5.2376528621301182</v>
      </c>
      <c r="D190">
        <f t="shared" ca="1" si="20"/>
        <v>2.6956770032203656</v>
      </c>
      <c r="E190">
        <f t="shared" ca="1" si="21"/>
        <v>2</v>
      </c>
      <c r="F190" t="e">
        <f t="shared" ca="1" si="22"/>
        <v>#N/A</v>
      </c>
      <c r="G190">
        <f t="shared" ca="1" si="23"/>
        <v>2.6956770032203656</v>
      </c>
      <c r="H190" t="e">
        <f>NA()</f>
        <v>#N/A</v>
      </c>
      <c r="I190" t="e">
        <f>NA()</f>
        <v>#N/A</v>
      </c>
      <c r="J190" t="e">
        <f>NA()</f>
        <v>#N/A</v>
      </c>
      <c r="K190" t="e">
        <f>NA()</f>
        <v>#N/A</v>
      </c>
    </row>
    <row r="191" spans="1:11" x14ac:dyDescent="0.25">
      <c r="A191">
        <v>171</v>
      </c>
      <c r="B191">
        <f t="shared" ca="1" si="18"/>
        <v>0.76630049662066158</v>
      </c>
      <c r="C191">
        <f t="shared" ca="1" si="19"/>
        <v>3.981840808483073</v>
      </c>
      <c r="D191">
        <f t="shared" ca="1" si="20"/>
        <v>5.7444246633067122</v>
      </c>
      <c r="E191">
        <f t="shared" ca="1" si="21"/>
        <v>2</v>
      </c>
      <c r="F191" t="e">
        <f t="shared" ca="1" si="22"/>
        <v>#N/A</v>
      </c>
      <c r="G191">
        <f t="shared" ca="1" si="23"/>
        <v>5.7444246633067122</v>
      </c>
      <c r="H191" t="e">
        <f>NA()</f>
        <v>#N/A</v>
      </c>
      <c r="I191" t="e">
        <f>NA()</f>
        <v>#N/A</v>
      </c>
      <c r="J191" t="e">
        <f>NA()</f>
        <v>#N/A</v>
      </c>
      <c r="K191" t="e">
        <f>NA()</f>
        <v>#N/A</v>
      </c>
    </row>
    <row r="192" spans="1:11" x14ac:dyDescent="0.25">
      <c r="A192">
        <v>172</v>
      </c>
      <c r="B192">
        <f t="shared" ca="1" si="18"/>
        <v>6.2281683009491884E-2</v>
      </c>
      <c r="C192">
        <f t="shared" ca="1" si="19"/>
        <v>-0.83636412453965803</v>
      </c>
      <c r="D192">
        <f t="shared" ca="1" si="20"/>
        <v>0.22514708973440875</v>
      </c>
      <c r="E192">
        <f t="shared" ca="1" si="21"/>
        <v>1</v>
      </c>
      <c r="F192">
        <f t="shared" ca="1" si="22"/>
        <v>0.22514708973440875</v>
      </c>
      <c r="G192" t="e">
        <f t="shared" ca="1" si="23"/>
        <v>#N/A</v>
      </c>
      <c r="H192" t="e">
        <f>NA()</f>
        <v>#N/A</v>
      </c>
      <c r="I192" t="e">
        <f>NA()</f>
        <v>#N/A</v>
      </c>
      <c r="J192" t="e">
        <f>NA()</f>
        <v>#N/A</v>
      </c>
      <c r="K192" t="e">
        <f>NA()</f>
        <v>#N/A</v>
      </c>
    </row>
    <row r="193" spans="1:11" x14ac:dyDescent="0.25">
      <c r="A193">
        <v>173</v>
      </c>
      <c r="B193">
        <f t="shared" ca="1" si="18"/>
        <v>5.4049414579713684E-2</v>
      </c>
      <c r="C193">
        <f t="shared" ca="1" si="19"/>
        <v>1.6651843358151586</v>
      </c>
      <c r="D193">
        <f t="shared" ca="1" si="20"/>
        <v>0.63805673046022759</v>
      </c>
      <c r="E193">
        <f t="shared" ca="1" si="21"/>
        <v>1</v>
      </c>
      <c r="F193">
        <f t="shared" ca="1" si="22"/>
        <v>0.63805673046022759</v>
      </c>
      <c r="G193" t="e">
        <f t="shared" ca="1" si="23"/>
        <v>#N/A</v>
      </c>
      <c r="H193" t="e">
        <f>NA()</f>
        <v>#N/A</v>
      </c>
      <c r="I193" t="e">
        <f>NA()</f>
        <v>#N/A</v>
      </c>
      <c r="J193" t="e">
        <f>NA()</f>
        <v>#N/A</v>
      </c>
      <c r="K193" t="e">
        <f>NA()</f>
        <v>#N/A</v>
      </c>
    </row>
    <row r="194" spans="1:11" x14ac:dyDescent="0.25">
      <c r="A194">
        <v>174</v>
      </c>
      <c r="B194">
        <f t="shared" ca="1" si="18"/>
        <v>0.54542346989025847</v>
      </c>
      <c r="C194">
        <f t="shared" ca="1" si="19"/>
        <v>0.87443233027117473</v>
      </c>
      <c r="D194">
        <f t="shared" ca="1" si="20"/>
        <v>0.18682618895940312</v>
      </c>
      <c r="E194">
        <f t="shared" ca="1" si="21"/>
        <v>1</v>
      </c>
      <c r="F194">
        <f t="shared" ca="1" si="22"/>
        <v>0.18682618895940312</v>
      </c>
      <c r="G194" t="e">
        <f t="shared" ca="1" si="23"/>
        <v>#N/A</v>
      </c>
      <c r="H194" t="e">
        <f>NA()</f>
        <v>#N/A</v>
      </c>
      <c r="I194" t="e">
        <f>NA()</f>
        <v>#N/A</v>
      </c>
      <c r="J194" t="e">
        <f>NA()</f>
        <v>#N/A</v>
      </c>
      <c r="K194" t="e">
        <f>NA()</f>
        <v>#N/A</v>
      </c>
    </row>
    <row r="195" spans="1:11" x14ac:dyDescent="0.25">
      <c r="A195">
        <v>175</v>
      </c>
      <c r="B195">
        <f t="shared" ca="1" si="18"/>
        <v>0.55667681711277128</v>
      </c>
      <c r="C195">
        <f t="shared" ca="1" si="19"/>
        <v>0.32201681597002724</v>
      </c>
      <c r="D195">
        <f t="shared" ca="1" si="20"/>
        <v>-0.69777012398519944</v>
      </c>
      <c r="E195">
        <f t="shared" ca="1" si="21"/>
        <v>1</v>
      </c>
      <c r="F195">
        <f t="shared" ca="1" si="22"/>
        <v>-0.69777012398519944</v>
      </c>
      <c r="G195" t="e">
        <f t="shared" ca="1" si="23"/>
        <v>#N/A</v>
      </c>
      <c r="H195" t="e">
        <f>NA()</f>
        <v>#N/A</v>
      </c>
      <c r="I195" t="e">
        <f>NA()</f>
        <v>#N/A</v>
      </c>
      <c r="J195" t="e">
        <f>NA()</f>
        <v>#N/A</v>
      </c>
      <c r="K195" t="e">
        <f>NA()</f>
        <v>#N/A</v>
      </c>
    </row>
    <row r="196" spans="1:11" x14ac:dyDescent="0.25">
      <c r="A196">
        <v>176</v>
      </c>
      <c r="B196">
        <f t="shared" ca="1" si="18"/>
        <v>0.90403264450351806</v>
      </c>
      <c r="C196">
        <f t="shared" ca="1" si="19"/>
        <v>3.4875269821201327</v>
      </c>
      <c r="D196">
        <f t="shared" ca="1" si="20"/>
        <v>2.425685685839178</v>
      </c>
      <c r="E196">
        <f t="shared" ca="1" si="21"/>
        <v>2</v>
      </c>
      <c r="F196" t="e">
        <f t="shared" ca="1" si="22"/>
        <v>#N/A</v>
      </c>
      <c r="G196">
        <f t="shared" ca="1" si="23"/>
        <v>2.425685685839178</v>
      </c>
      <c r="H196" t="e">
        <f>NA()</f>
        <v>#N/A</v>
      </c>
      <c r="I196" t="e">
        <f>NA()</f>
        <v>#N/A</v>
      </c>
      <c r="J196" t="e">
        <f>NA()</f>
        <v>#N/A</v>
      </c>
      <c r="K196" t="e">
        <f>NA()</f>
        <v>#N/A</v>
      </c>
    </row>
    <row r="197" spans="1:11" x14ac:dyDescent="0.25">
      <c r="A197">
        <v>177</v>
      </c>
      <c r="B197">
        <f t="shared" ca="1" si="18"/>
        <v>0.39840052079139199</v>
      </c>
      <c r="C197">
        <f t="shared" ca="1" si="19"/>
        <v>-0.5310553124266727</v>
      </c>
      <c r="D197">
        <f t="shared" ca="1" si="20"/>
        <v>-0.51078451507851608</v>
      </c>
      <c r="E197">
        <f t="shared" ca="1" si="21"/>
        <v>1</v>
      </c>
      <c r="F197">
        <f t="shared" ca="1" si="22"/>
        <v>-0.51078451507851608</v>
      </c>
      <c r="G197" t="e">
        <f t="shared" ca="1" si="23"/>
        <v>#N/A</v>
      </c>
      <c r="H197" t="e">
        <f>NA()</f>
        <v>#N/A</v>
      </c>
      <c r="I197" t="e">
        <f>NA()</f>
        <v>#N/A</v>
      </c>
      <c r="J197" t="e">
        <f>NA()</f>
        <v>#N/A</v>
      </c>
      <c r="K197" t="e">
        <f>NA()</f>
        <v>#N/A</v>
      </c>
    </row>
    <row r="198" spans="1:11" x14ac:dyDescent="0.25">
      <c r="A198">
        <v>178</v>
      </c>
      <c r="B198">
        <f t="shared" ca="1" si="18"/>
        <v>0.6275597193190231</v>
      </c>
      <c r="C198">
        <f t="shared" ca="1" si="19"/>
        <v>3.9170068069759458</v>
      </c>
      <c r="D198">
        <f t="shared" ca="1" si="20"/>
        <v>4.4481118341544166</v>
      </c>
      <c r="E198">
        <f t="shared" ca="1" si="21"/>
        <v>2</v>
      </c>
      <c r="F198" t="e">
        <f t="shared" ca="1" si="22"/>
        <v>#N/A</v>
      </c>
      <c r="G198">
        <f t="shared" ca="1" si="23"/>
        <v>4.4481118341544166</v>
      </c>
      <c r="H198" t="e">
        <f>NA()</f>
        <v>#N/A</v>
      </c>
      <c r="I198" t="e">
        <f>NA()</f>
        <v>#N/A</v>
      </c>
      <c r="J198" t="e">
        <f>NA()</f>
        <v>#N/A</v>
      </c>
      <c r="K198" t="e">
        <f>NA()</f>
        <v>#N/A</v>
      </c>
    </row>
    <row r="199" spans="1:11" x14ac:dyDescent="0.25">
      <c r="A199">
        <v>179</v>
      </c>
      <c r="B199">
        <f t="shared" ca="1" si="18"/>
        <v>0.69651380827934295</v>
      </c>
      <c r="C199">
        <f t="shared" ca="1" si="19"/>
        <v>4.5465221501864779</v>
      </c>
      <c r="D199">
        <f t="shared" ca="1" si="20"/>
        <v>5.3229237836293271</v>
      </c>
      <c r="E199">
        <f t="shared" ca="1" si="21"/>
        <v>2</v>
      </c>
      <c r="F199" t="e">
        <f t="shared" ca="1" si="22"/>
        <v>#N/A</v>
      </c>
      <c r="G199">
        <f t="shared" ca="1" si="23"/>
        <v>5.3229237836293271</v>
      </c>
      <c r="H199" t="e">
        <f>NA()</f>
        <v>#N/A</v>
      </c>
      <c r="I199" t="e">
        <f>NA()</f>
        <v>#N/A</v>
      </c>
      <c r="J199" t="e">
        <f>NA()</f>
        <v>#N/A</v>
      </c>
      <c r="K199" t="e">
        <f>NA()</f>
        <v>#N/A</v>
      </c>
    </row>
    <row r="200" spans="1:11" x14ac:dyDescent="0.25">
      <c r="A200">
        <v>180</v>
      </c>
      <c r="B200">
        <f t="shared" ca="1" si="18"/>
        <v>0.93079021336129897</v>
      </c>
      <c r="C200">
        <f t="shared" ca="1" si="19"/>
        <v>4.7918578014275548</v>
      </c>
      <c r="D200">
        <f t="shared" ca="1" si="20"/>
        <v>3.9465030929073421</v>
      </c>
      <c r="E200">
        <f t="shared" ca="1" si="21"/>
        <v>2</v>
      </c>
      <c r="F200" t="e">
        <f t="shared" ca="1" si="22"/>
        <v>#N/A</v>
      </c>
      <c r="G200">
        <f t="shared" ca="1" si="23"/>
        <v>3.9465030929073421</v>
      </c>
      <c r="H200" t="e">
        <f>NA()</f>
        <v>#N/A</v>
      </c>
      <c r="I200" t="e">
        <f>NA()</f>
        <v>#N/A</v>
      </c>
      <c r="J200" t="e">
        <f>NA()</f>
        <v>#N/A</v>
      </c>
      <c r="K200" t="e">
        <f>NA()</f>
        <v>#N/A</v>
      </c>
    </row>
    <row r="201" spans="1:11" x14ac:dyDescent="0.25">
      <c r="A201">
        <v>181</v>
      </c>
      <c r="B201">
        <f t="shared" ca="1" si="18"/>
        <v>0.11615254509264872</v>
      </c>
      <c r="C201">
        <f t="shared" ca="1" si="19"/>
        <v>1.0139034380323941</v>
      </c>
      <c r="D201">
        <f t="shared" ca="1" si="20"/>
        <v>-0.56555452162185982</v>
      </c>
      <c r="E201">
        <f t="shared" ca="1" si="21"/>
        <v>1</v>
      </c>
      <c r="F201">
        <f t="shared" ca="1" si="22"/>
        <v>-0.56555452162185982</v>
      </c>
      <c r="G201" t="e">
        <f t="shared" ca="1" si="23"/>
        <v>#N/A</v>
      </c>
      <c r="H201" t="e">
        <f>NA()</f>
        <v>#N/A</v>
      </c>
      <c r="I201" t="e">
        <f>NA()</f>
        <v>#N/A</v>
      </c>
      <c r="J201" t="e">
        <f>NA()</f>
        <v>#N/A</v>
      </c>
      <c r="K201" t="e">
        <f>NA()</f>
        <v>#N/A</v>
      </c>
    </row>
    <row r="202" spans="1:11" x14ac:dyDescent="0.25">
      <c r="A202">
        <v>182</v>
      </c>
      <c r="B202">
        <f t="shared" ca="1" si="18"/>
        <v>0.7261639222709001</v>
      </c>
      <c r="C202">
        <f t="shared" ca="1" si="19"/>
        <v>3.3272773916119922</v>
      </c>
      <c r="D202">
        <f t="shared" ca="1" si="20"/>
        <v>4.6027790764124674</v>
      </c>
      <c r="E202">
        <f t="shared" ca="1" si="21"/>
        <v>2</v>
      </c>
      <c r="F202" t="e">
        <f t="shared" ca="1" si="22"/>
        <v>#N/A</v>
      </c>
      <c r="G202">
        <f t="shared" ca="1" si="23"/>
        <v>4.6027790764124674</v>
      </c>
      <c r="H202" t="e">
        <f>NA()</f>
        <v>#N/A</v>
      </c>
      <c r="I202" t="e">
        <f>NA()</f>
        <v>#N/A</v>
      </c>
      <c r="J202" t="e">
        <f>NA()</f>
        <v>#N/A</v>
      </c>
      <c r="K202" t="e">
        <f>NA()</f>
        <v>#N/A</v>
      </c>
    </row>
    <row r="203" spans="1:11" x14ac:dyDescent="0.25">
      <c r="A203">
        <v>183</v>
      </c>
      <c r="B203">
        <f t="shared" ca="1" si="18"/>
        <v>0.15229257003358643</v>
      </c>
      <c r="C203">
        <f t="shared" ca="1" si="19"/>
        <v>-0.11277154017269274</v>
      </c>
      <c r="D203">
        <f t="shared" ca="1" si="20"/>
        <v>-0.46988333055910503</v>
      </c>
      <c r="E203">
        <f t="shared" ca="1" si="21"/>
        <v>1</v>
      </c>
      <c r="F203">
        <f t="shared" ca="1" si="22"/>
        <v>-0.46988333055910503</v>
      </c>
      <c r="G203" t="e">
        <f t="shared" ca="1" si="23"/>
        <v>#N/A</v>
      </c>
      <c r="H203" t="e">
        <f>NA()</f>
        <v>#N/A</v>
      </c>
      <c r="I203" t="e">
        <f>NA()</f>
        <v>#N/A</v>
      </c>
      <c r="J203" t="e">
        <f>NA()</f>
        <v>#N/A</v>
      </c>
      <c r="K203" t="e">
        <f>NA()</f>
        <v>#N/A</v>
      </c>
    </row>
    <row r="204" spans="1:11" x14ac:dyDescent="0.25">
      <c r="A204">
        <v>184</v>
      </c>
      <c r="B204">
        <f t="shared" ca="1" si="18"/>
        <v>0.96234970366642225</v>
      </c>
      <c r="C204">
        <f t="shared" ca="1" si="19"/>
        <v>4.5145111241462796</v>
      </c>
      <c r="D204">
        <f t="shared" ca="1" si="20"/>
        <v>4.4496714511805227</v>
      </c>
      <c r="E204">
        <f t="shared" ca="1" si="21"/>
        <v>2</v>
      </c>
      <c r="F204" t="e">
        <f t="shared" ca="1" si="22"/>
        <v>#N/A</v>
      </c>
      <c r="G204">
        <f t="shared" ca="1" si="23"/>
        <v>4.4496714511805227</v>
      </c>
      <c r="H204" t="e">
        <f>NA()</f>
        <v>#N/A</v>
      </c>
      <c r="I204" t="e">
        <f>NA()</f>
        <v>#N/A</v>
      </c>
      <c r="J204" t="e">
        <f>NA()</f>
        <v>#N/A</v>
      </c>
      <c r="K204" t="e">
        <f>NA()</f>
        <v>#N/A</v>
      </c>
    </row>
    <row r="205" spans="1:11" x14ac:dyDescent="0.25">
      <c r="A205">
        <v>185</v>
      </c>
      <c r="B205">
        <f t="shared" ca="1" si="18"/>
        <v>0.77677715923231982</v>
      </c>
      <c r="C205">
        <f t="shared" ca="1" si="19"/>
        <v>4.7975347867094147</v>
      </c>
      <c r="D205">
        <f t="shared" ca="1" si="20"/>
        <v>4.5111732199359507</v>
      </c>
      <c r="E205">
        <f t="shared" ca="1" si="21"/>
        <v>2</v>
      </c>
      <c r="F205" t="e">
        <f t="shared" ca="1" si="22"/>
        <v>#N/A</v>
      </c>
      <c r="G205">
        <f t="shared" ca="1" si="23"/>
        <v>4.5111732199359507</v>
      </c>
      <c r="H205" t="e">
        <f>NA()</f>
        <v>#N/A</v>
      </c>
      <c r="I205" t="e">
        <f>NA()</f>
        <v>#N/A</v>
      </c>
      <c r="J205" t="e">
        <f>NA()</f>
        <v>#N/A</v>
      </c>
      <c r="K205" t="e">
        <f>NA()</f>
        <v>#N/A</v>
      </c>
    </row>
    <row r="206" spans="1:11" x14ac:dyDescent="0.25">
      <c r="A206">
        <v>186</v>
      </c>
      <c r="B206">
        <f t="shared" ca="1" si="18"/>
        <v>0.42424573308537716</v>
      </c>
      <c r="C206">
        <f t="shared" ca="1" si="19"/>
        <v>0.58655011178910677</v>
      </c>
      <c r="D206">
        <f t="shared" ca="1" si="20"/>
        <v>0.54026822091527937</v>
      </c>
      <c r="E206">
        <f t="shared" ca="1" si="21"/>
        <v>1</v>
      </c>
      <c r="F206">
        <f t="shared" ca="1" si="22"/>
        <v>0.54026822091527937</v>
      </c>
      <c r="G206" t="e">
        <f t="shared" ca="1" si="23"/>
        <v>#N/A</v>
      </c>
      <c r="H206" t="e">
        <f>NA()</f>
        <v>#N/A</v>
      </c>
      <c r="I206" t="e">
        <f>NA()</f>
        <v>#N/A</v>
      </c>
      <c r="J206" t="e">
        <f>NA()</f>
        <v>#N/A</v>
      </c>
      <c r="K206" t="e">
        <f>NA()</f>
        <v>#N/A</v>
      </c>
    </row>
    <row r="207" spans="1:11" x14ac:dyDescent="0.25">
      <c r="A207">
        <v>187</v>
      </c>
      <c r="B207">
        <f t="shared" ca="1" si="18"/>
        <v>0.48733734286165342</v>
      </c>
      <c r="C207">
        <f t="shared" ca="1" si="19"/>
        <v>-2.1522638792174011</v>
      </c>
      <c r="D207">
        <f t="shared" ca="1" si="20"/>
        <v>0.2544702358528087</v>
      </c>
      <c r="E207">
        <f t="shared" ca="1" si="21"/>
        <v>1</v>
      </c>
      <c r="F207">
        <f t="shared" ca="1" si="22"/>
        <v>0.2544702358528087</v>
      </c>
      <c r="G207" t="e">
        <f t="shared" ca="1" si="23"/>
        <v>#N/A</v>
      </c>
      <c r="H207" t="e">
        <f>NA()</f>
        <v>#N/A</v>
      </c>
      <c r="I207" t="e">
        <f>NA()</f>
        <v>#N/A</v>
      </c>
      <c r="J207" t="e">
        <f>NA()</f>
        <v>#N/A</v>
      </c>
      <c r="K207" t="e">
        <f>NA()</f>
        <v>#N/A</v>
      </c>
    </row>
    <row r="208" spans="1:11" x14ac:dyDescent="0.25">
      <c r="A208">
        <v>188</v>
      </c>
      <c r="B208">
        <f t="shared" ca="1" si="18"/>
        <v>0.21056132262035876</v>
      </c>
      <c r="C208">
        <f t="shared" ca="1" si="19"/>
        <v>-1.7596854006777518</v>
      </c>
      <c r="D208">
        <f t="shared" ca="1" si="20"/>
        <v>0.28378769805931497</v>
      </c>
      <c r="E208">
        <f t="shared" ca="1" si="21"/>
        <v>1</v>
      </c>
      <c r="F208">
        <f t="shared" ca="1" si="22"/>
        <v>0.28378769805931497</v>
      </c>
      <c r="G208" t="e">
        <f t="shared" ca="1" si="23"/>
        <v>#N/A</v>
      </c>
      <c r="H208" t="e">
        <f>NA()</f>
        <v>#N/A</v>
      </c>
      <c r="I208" t="e">
        <f>NA()</f>
        <v>#N/A</v>
      </c>
      <c r="J208" t="e">
        <f>NA()</f>
        <v>#N/A</v>
      </c>
      <c r="K208" t="e">
        <f>NA()</f>
        <v>#N/A</v>
      </c>
    </row>
    <row r="209" spans="1:11" x14ac:dyDescent="0.25">
      <c r="A209">
        <v>189</v>
      </c>
      <c r="B209">
        <f t="shared" ca="1" si="18"/>
        <v>0.9926558824482925</v>
      </c>
      <c r="C209">
        <f t="shared" ca="1" si="19"/>
        <v>2.7894285111181136</v>
      </c>
      <c r="D209">
        <f t="shared" ca="1" si="20"/>
        <v>2.6698404171319963</v>
      </c>
      <c r="E209">
        <f t="shared" ca="1" si="21"/>
        <v>2</v>
      </c>
      <c r="F209" t="e">
        <f t="shared" ca="1" si="22"/>
        <v>#N/A</v>
      </c>
      <c r="G209">
        <f t="shared" ca="1" si="23"/>
        <v>2.6698404171319963</v>
      </c>
      <c r="H209" t="e">
        <f>NA()</f>
        <v>#N/A</v>
      </c>
      <c r="I209" t="e">
        <f>NA()</f>
        <v>#N/A</v>
      </c>
      <c r="J209" t="e">
        <f>NA()</f>
        <v>#N/A</v>
      </c>
      <c r="K209" t="e">
        <f>NA()</f>
        <v>#N/A</v>
      </c>
    </row>
    <row r="210" spans="1:11" x14ac:dyDescent="0.25">
      <c r="A210">
        <v>190</v>
      </c>
      <c r="B210">
        <f t="shared" ca="1" si="18"/>
        <v>8.7175714221522926E-2</v>
      </c>
      <c r="C210">
        <f t="shared" ca="1" si="19"/>
        <v>-2.9993657722153437</v>
      </c>
      <c r="D210">
        <f t="shared" ca="1" si="20"/>
        <v>0.43584404735805582</v>
      </c>
      <c r="E210">
        <f t="shared" ca="1" si="21"/>
        <v>1</v>
      </c>
      <c r="F210">
        <f t="shared" ca="1" si="22"/>
        <v>0.43584404735805582</v>
      </c>
      <c r="G210" t="e">
        <f t="shared" ca="1" si="23"/>
        <v>#N/A</v>
      </c>
      <c r="H210" t="e">
        <f>NA()</f>
        <v>#N/A</v>
      </c>
      <c r="I210" t="e">
        <f>NA()</f>
        <v>#N/A</v>
      </c>
      <c r="J210" t="e">
        <f>NA()</f>
        <v>#N/A</v>
      </c>
      <c r="K210" t="e">
        <f>NA()</f>
        <v>#N/A</v>
      </c>
    </row>
    <row r="211" spans="1:11" x14ac:dyDescent="0.25">
      <c r="A211">
        <v>191</v>
      </c>
      <c r="B211">
        <f t="shared" ca="1" si="18"/>
        <v>0.233842837388754</v>
      </c>
      <c r="C211">
        <f t="shared" ca="1" si="19"/>
        <v>-0.76307276941717617</v>
      </c>
      <c r="D211">
        <f t="shared" ca="1" si="20"/>
        <v>0.11138259092754538</v>
      </c>
      <c r="E211">
        <f t="shared" ca="1" si="21"/>
        <v>1</v>
      </c>
      <c r="F211">
        <f t="shared" ca="1" si="22"/>
        <v>0.11138259092754538</v>
      </c>
      <c r="G211" t="e">
        <f t="shared" ca="1" si="23"/>
        <v>#N/A</v>
      </c>
      <c r="H211" t="e">
        <f>NA()</f>
        <v>#N/A</v>
      </c>
      <c r="I211" t="e">
        <f>NA()</f>
        <v>#N/A</v>
      </c>
      <c r="J211" t="e">
        <f>NA()</f>
        <v>#N/A</v>
      </c>
      <c r="K211" t="e">
        <f>NA()</f>
        <v>#N/A</v>
      </c>
    </row>
    <row r="212" spans="1:11" x14ac:dyDescent="0.25">
      <c r="A212">
        <v>192</v>
      </c>
      <c r="B212">
        <f t="shared" ca="1" si="18"/>
        <v>0.21085182831190219</v>
      </c>
      <c r="C212">
        <f t="shared" ca="1" si="19"/>
        <v>-1.7386131436974006</v>
      </c>
      <c r="D212">
        <f t="shared" ca="1" si="20"/>
        <v>0.90029807197741696</v>
      </c>
      <c r="E212">
        <f t="shared" ca="1" si="21"/>
        <v>1</v>
      </c>
      <c r="F212">
        <f t="shared" ca="1" si="22"/>
        <v>0.90029807197741696</v>
      </c>
      <c r="G212" t="e">
        <f t="shared" ca="1" si="23"/>
        <v>#N/A</v>
      </c>
      <c r="H212" t="e">
        <f>NA()</f>
        <v>#N/A</v>
      </c>
      <c r="I212" t="e">
        <f>NA()</f>
        <v>#N/A</v>
      </c>
      <c r="J212" t="e">
        <f>NA()</f>
        <v>#N/A</v>
      </c>
      <c r="K212" t="e">
        <f>NA()</f>
        <v>#N/A</v>
      </c>
    </row>
    <row r="213" spans="1:11" x14ac:dyDescent="0.25">
      <c r="A213">
        <v>193</v>
      </c>
      <c r="B213">
        <f t="shared" ref="B213:B276" ca="1" si="24">RAND()</f>
        <v>0.96161936014021576</v>
      </c>
      <c r="C213">
        <f t="shared" ref="C213:C276" ca="1" si="25">IF(E213=1,_xlfn.NORM.INV(RAND(),$D$4,$G$4),_xlfn.NORM.INV(RAND(),$D$14,$G$14))</f>
        <v>4.1289946796011883</v>
      </c>
      <c r="D213">
        <f t="shared" ref="D213:D276" ca="1" si="26">IF(E213=1,_xlfn.NORM.INV(RAND(),$D$5-$L$4/$K$4*(C213-$D$4),SQRT(1/(2*$K$4))),_xlfn.NORM.INV(RAND(),$D$15-$L$14/$K$14*(C213-$D$14),SQRT(1/(2*$K$14))))</f>
        <v>5.0254049357632455</v>
      </c>
      <c r="E213">
        <f t="shared" ref="E213:E276" ca="1" si="27">IF(B213&lt;$H$1,1,2)</f>
        <v>2</v>
      </c>
      <c r="F213" t="e">
        <f t="shared" ca="1" si="22"/>
        <v>#N/A</v>
      </c>
      <c r="G213">
        <f t="shared" ca="1" si="23"/>
        <v>5.0254049357632455</v>
      </c>
      <c r="H213" t="e">
        <f>NA()</f>
        <v>#N/A</v>
      </c>
      <c r="I213" t="e">
        <f>NA()</f>
        <v>#N/A</v>
      </c>
      <c r="J213" t="e">
        <f>NA()</f>
        <v>#N/A</v>
      </c>
      <c r="K213" t="e">
        <f>NA()</f>
        <v>#N/A</v>
      </c>
    </row>
    <row r="214" spans="1:11" x14ac:dyDescent="0.25">
      <c r="A214">
        <v>194</v>
      </c>
      <c r="B214">
        <f t="shared" ca="1" si="24"/>
        <v>0.48016529186455836</v>
      </c>
      <c r="C214">
        <f t="shared" ca="1" si="25"/>
        <v>0.84246741127641256</v>
      </c>
      <c r="D214">
        <f t="shared" ca="1" si="26"/>
        <v>-1.043343770668189</v>
      </c>
      <c r="E214">
        <f t="shared" ca="1" si="27"/>
        <v>1</v>
      </c>
      <c r="F214">
        <f t="shared" ref="F214:F277" ca="1" si="28">IF($E214=1,D214,NA())</f>
        <v>-1.043343770668189</v>
      </c>
      <c r="G214" t="e">
        <f t="shared" ref="G214:G277" ca="1" si="29">IF($E214=2,D214,NA())</f>
        <v>#N/A</v>
      </c>
      <c r="H214" t="e">
        <f>NA()</f>
        <v>#N/A</v>
      </c>
      <c r="I214" t="e">
        <f>NA()</f>
        <v>#N/A</v>
      </c>
      <c r="J214" t="e">
        <f>NA()</f>
        <v>#N/A</v>
      </c>
      <c r="K214" t="e">
        <f>NA()</f>
        <v>#N/A</v>
      </c>
    </row>
    <row r="215" spans="1:11" x14ac:dyDescent="0.25">
      <c r="A215">
        <v>195</v>
      </c>
      <c r="B215">
        <f t="shared" ca="1" si="24"/>
        <v>0.11914425089299963</v>
      </c>
      <c r="C215">
        <f t="shared" ca="1" si="25"/>
        <v>1.6278445600284628</v>
      </c>
      <c r="D215">
        <f t="shared" ca="1" si="26"/>
        <v>0.67563801594573591</v>
      </c>
      <c r="E215">
        <f t="shared" ca="1" si="27"/>
        <v>1</v>
      </c>
      <c r="F215">
        <f t="shared" ca="1" si="28"/>
        <v>0.67563801594573591</v>
      </c>
      <c r="G215" t="e">
        <f t="shared" ca="1" si="29"/>
        <v>#N/A</v>
      </c>
      <c r="H215" t="e">
        <f>NA()</f>
        <v>#N/A</v>
      </c>
      <c r="I215" t="e">
        <f>NA()</f>
        <v>#N/A</v>
      </c>
      <c r="J215" t="e">
        <f>NA()</f>
        <v>#N/A</v>
      </c>
      <c r="K215" t="e">
        <f>NA()</f>
        <v>#N/A</v>
      </c>
    </row>
    <row r="216" spans="1:11" x14ac:dyDescent="0.25">
      <c r="A216">
        <v>196</v>
      </c>
      <c r="B216">
        <f t="shared" ca="1" si="24"/>
        <v>0.45494761838425257</v>
      </c>
      <c r="C216">
        <f t="shared" ca="1" si="25"/>
        <v>1.8052475720999275</v>
      </c>
      <c r="D216">
        <f t="shared" ca="1" si="26"/>
        <v>-1.0278824640570783E-2</v>
      </c>
      <c r="E216">
        <f t="shared" ca="1" si="27"/>
        <v>1</v>
      </c>
      <c r="F216">
        <f t="shared" ca="1" si="28"/>
        <v>-1.0278824640570783E-2</v>
      </c>
      <c r="G216" t="e">
        <f t="shared" ca="1" si="29"/>
        <v>#N/A</v>
      </c>
      <c r="H216" t="e">
        <f>NA()</f>
        <v>#N/A</v>
      </c>
      <c r="I216" t="e">
        <f>NA()</f>
        <v>#N/A</v>
      </c>
      <c r="J216" t="e">
        <f>NA()</f>
        <v>#N/A</v>
      </c>
      <c r="K216" t="e">
        <f>NA()</f>
        <v>#N/A</v>
      </c>
    </row>
    <row r="217" spans="1:11" x14ac:dyDescent="0.25">
      <c r="A217">
        <v>197</v>
      </c>
      <c r="B217">
        <f t="shared" ca="1" si="24"/>
        <v>0.77867703000247346</v>
      </c>
      <c r="C217">
        <f t="shared" ca="1" si="25"/>
        <v>2.288312007809215</v>
      </c>
      <c r="D217">
        <f t="shared" ca="1" si="26"/>
        <v>5.1950174394799919</v>
      </c>
      <c r="E217">
        <f t="shared" ca="1" si="27"/>
        <v>2</v>
      </c>
      <c r="F217" t="e">
        <f t="shared" ca="1" si="28"/>
        <v>#N/A</v>
      </c>
      <c r="G217">
        <f t="shared" ca="1" si="29"/>
        <v>5.1950174394799919</v>
      </c>
      <c r="H217" t="e">
        <f>NA()</f>
        <v>#N/A</v>
      </c>
      <c r="I217" t="e">
        <f>NA()</f>
        <v>#N/A</v>
      </c>
      <c r="J217" t="e">
        <f>NA()</f>
        <v>#N/A</v>
      </c>
      <c r="K217" t="e">
        <f>NA()</f>
        <v>#N/A</v>
      </c>
    </row>
    <row r="218" spans="1:11" x14ac:dyDescent="0.25">
      <c r="A218">
        <v>198</v>
      </c>
      <c r="B218">
        <f t="shared" ca="1" si="24"/>
        <v>0.10937106353523685</v>
      </c>
      <c r="C218">
        <f t="shared" ca="1" si="25"/>
        <v>-0.32776001250539349</v>
      </c>
      <c r="D218">
        <f t="shared" ca="1" si="26"/>
        <v>1.2352289611535689</v>
      </c>
      <c r="E218">
        <f t="shared" ca="1" si="27"/>
        <v>1</v>
      </c>
      <c r="F218">
        <f t="shared" ca="1" si="28"/>
        <v>1.2352289611535689</v>
      </c>
      <c r="G218" t="e">
        <f t="shared" ca="1" si="29"/>
        <v>#N/A</v>
      </c>
      <c r="H218" t="e">
        <f>NA()</f>
        <v>#N/A</v>
      </c>
      <c r="I218" t="e">
        <f>NA()</f>
        <v>#N/A</v>
      </c>
      <c r="J218" t="e">
        <f>NA()</f>
        <v>#N/A</v>
      </c>
      <c r="K218" t="e">
        <f>NA()</f>
        <v>#N/A</v>
      </c>
    </row>
    <row r="219" spans="1:11" x14ac:dyDescent="0.25">
      <c r="A219">
        <v>199</v>
      </c>
      <c r="B219">
        <f t="shared" ca="1" si="24"/>
        <v>0.5613489719921323</v>
      </c>
      <c r="C219">
        <f t="shared" ca="1" si="25"/>
        <v>-0.11496757297565079</v>
      </c>
      <c r="D219">
        <f t="shared" ca="1" si="26"/>
        <v>-0.47096716907392211</v>
      </c>
      <c r="E219">
        <f t="shared" ca="1" si="27"/>
        <v>1</v>
      </c>
      <c r="F219">
        <f t="shared" ca="1" si="28"/>
        <v>-0.47096716907392211</v>
      </c>
      <c r="G219" t="e">
        <f t="shared" ca="1" si="29"/>
        <v>#N/A</v>
      </c>
      <c r="H219" t="e">
        <f>NA()</f>
        <v>#N/A</v>
      </c>
      <c r="I219" t="e">
        <f>NA()</f>
        <v>#N/A</v>
      </c>
      <c r="J219" t="e">
        <f>NA()</f>
        <v>#N/A</v>
      </c>
      <c r="K219" t="e">
        <f>NA()</f>
        <v>#N/A</v>
      </c>
    </row>
    <row r="220" spans="1:11" x14ac:dyDescent="0.25">
      <c r="A220">
        <v>200</v>
      </c>
      <c r="B220">
        <f t="shared" ca="1" si="24"/>
        <v>0.46680356925049349</v>
      </c>
      <c r="C220">
        <f t="shared" ca="1" si="25"/>
        <v>-1.7516671348184694</v>
      </c>
      <c r="D220">
        <f t="shared" ca="1" si="26"/>
        <v>1.462892798723413</v>
      </c>
      <c r="E220">
        <f t="shared" ca="1" si="27"/>
        <v>1</v>
      </c>
      <c r="F220">
        <f t="shared" ca="1" si="28"/>
        <v>1.462892798723413</v>
      </c>
      <c r="G220" t="e">
        <f t="shared" ca="1" si="29"/>
        <v>#N/A</v>
      </c>
      <c r="H220" t="e">
        <f>NA()</f>
        <v>#N/A</v>
      </c>
      <c r="I220" t="e">
        <f>NA()</f>
        <v>#N/A</v>
      </c>
      <c r="J220" t="e">
        <f>NA()</f>
        <v>#N/A</v>
      </c>
      <c r="K220" t="e">
        <f>NA()</f>
        <v>#N/A</v>
      </c>
    </row>
    <row r="221" spans="1:11" x14ac:dyDescent="0.25">
      <c r="A221">
        <v>201</v>
      </c>
      <c r="B221">
        <f t="shared" ca="1" si="24"/>
        <v>0.25022856335062127</v>
      </c>
      <c r="C221">
        <f t="shared" ca="1" si="25"/>
        <v>-1.0684217423101203</v>
      </c>
      <c r="D221">
        <f t="shared" ca="1" si="26"/>
        <v>8.5994322814170132E-2</v>
      </c>
      <c r="E221">
        <f t="shared" ca="1" si="27"/>
        <v>1</v>
      </c>
      <c r="F221">
        <f t="shared" ca="1" si="28"/>
        <v>8.5994322814170132E-2</v>
      </c>
      <c r="G221" t="e">
        <f t="shared" ca="1" si="29"/>
        <v>#N/A</v>
      </c>
      <c r="H221" t="e">
        <f>NA()</f>
        <v>#N/A</v>
      </c>
      <c r="I221" t="e">
        <f>NA()</f>
        <v>#N/A</v>
      </c>
      <c r="J221" t="e">
        <f>NA()</f>
        <v>#N/A</v>
      </c>
      <c r="K221" t="e">
        <f>NA()</f>
        <v>#N/A</v>
      </c>
    </row>
    <row r="222" spans="1:11" x14ac:dyDescent="0.25">
      <c r="A222">
        <v>202</v>
      </c>
      <c r="B222">
        <f t="shared" ca="1" si="24"/>
        <v>0.90138054811559132</v>
      </c>
      <c r="C222">
        <f t="shared" ca="1" si="25"/>
        <v>4.1675166961522496</v>
      </c>
      <c r="D222">
        <f t="shared" ca="1" si="26"/>
        <v>2.3355361563267674</v>
      </c>
      <c r="E222">
        <f t="shared" ca="1" si="27"/>
        <v>2</v>
      </c>
      <c r="F222" t="e">
        <f t="shared" ca="1" si="28"/>
        <v>#N/A</v>
      </c>
      <c r="G222">
        <f t="shared" ca="1" si="29"/>
        <v>2.3355361563267674</v>
      </c>
      <c r="H222" t="e">
        <f>NA()</f>
        <v>#N/A</v>
      </c>
      <c r="I222" t="e">
        <f>NA()</f>
        <v>#N/A</v>
      </c>
      <c r="J222" t="e">
        <f>NA()</f>
        <v>#N/A</v>
      </c>
      <c r="K222" t="e">
        <f>NA()</f>
        <v>#N/A</v>
      </c>
    </row>
    <row r="223" spans="1:11" x14ac:dyDescent="0.25">
      <c r="A223">
        <v>203</v>
      </c>
      <c r="B223">
        <f t="shared" ca="1" si="24"/>
        <v>0.1795324568737543</v>
      </c>
      <c r="C223">
        <f t="shared" ca="1" si="25"/>
        <v>0.85712401335151422</v>
      </c>
      <c r="D223">
        <f t="shared" ca="1" si="26"/>
        <v>-0.67076795649976506</v>
      </c>
      <c r="E223">
        <f t="shared" ca="1" si="27"/>
        <v>1</v>
      </c>
      <c r="F223">
        <f t="shared" ca="1" si="28"/>
        <v>-0.67076795649976506</v>
      </c>
      <c r="G223" t="e">
        <f t="shared" ca="1" si="29"/>
        <v>#N/A</v>
      </c>
      <c r="H223" t="e">
        <f>NA()</f>
        <v>#N/A</v>
      </c>
      <c r="I223" t="e">
        <f>NA()</f>
        <v>#N/A</v>
      </c>
      <c r="J223" t="e">
        <f>NA()</f>
        <v>#N/A</v>
      </c>
      <c r="K223" t="e">
        <f>NA()</f>
        <v>#N/A</v>
      </c>
    </row>
    <row r="224" spans="1:11" x14ac:dyDescent="0.25">
      <c r="A224">
        <v>204</v>
      </c>
      <c r="B224">
        <f t="shared" ca="1" si="24"/>
        <v>0.65953174364110068</v>
      </c>
      <c r="C224">
        <f t="shared" ca="1" si="25"/>
        <v>3.9037424887153902</v>
      </c>
      <c r="D224">
        <f t="shared" ca="1" si="26"/>
        <v>5.2466349462883421</v>
      </c>
      <c r="E224">
        <f t="shared" ca="1" si="27"/>
        <v>2</v>
      </c>
      <c r="F224" t="e">
        <f t="shared" ca="1" si="28"/>
        <v>#N/A</v>
      </c>
      <c r="G224">
        <f t="shared" ca="1" si="29"/>
        <v>5.2466349462883421</v>
      </c>
      <c r="H224" t="e">
        <f>NA()</f>
        <v>#N/A</v>
      </c>
      <c r="I224" t="e">
        <f>NA()</f>
        <v>#N/A</v>
      </c>
      <c r="J224" t="e">
        <f>NA()</f>
        <v>#N/A</v>
      </c>
      <c r="K224" t="e">
        <f>NA()</f>
        <v>#N/A</v>
      </c>
    </row>
    <row r="225" spans="1:11" x14ac:dyDescent="0.25">
      <c r="A225">
        <v>205</v>
      </c>
      <c r="B225">
        <f t="shared" ca="1" si="24"/>
        <v>0.40393511312654207</v>
      </c>
      <c r="C225">
        <f t="shared" ca="1" si="25"/>
        <v>1.4464757489049129</v>
      </c>
      <c r="D225">
        <f t="shared" ca="1" si="26"/>
        <v>0.25050811761110542</v>
      </c>
      <c r="E225">
        <f t="shared" ca="1" si="27"/>
        <v>1</v>
      </c>
      <c r="F225">
        <f t="shared" ca="1" si="28"/>
        <v>0.25050811761110542</v>
      </c>
      <c r="G225" t="e">
        <f t="shared" ca="1" si="29"/>
        <v>#N/A</v>
      </c>
      <c r="H225" t="e">
        <f>NA()</f>
        <v>#N/A</v>
      </c>
      <c r="I225" t="e">
        <f>NA()</f>
        <v>#N/A</v>
      </c>
      <c r="J225" t="e">
        <f>NA()</f>
        <v>#N/A</v>
      </c>
      <c r="K225" t="e">
        <f>NA()</f>
        <v>#N/A</v>
      </c>
    </row>
    <row r="226" spans="1:11" x14ac:dyDescent="0.25">
      <c r="A226">
        <v>206</v>
      </c>
      <c r="B226">
        <f t="shared" ca="1" si="24"/>
        <v>0.4364052212955124</v>
      </c>
      <c r="C226">
        <f t="shared" ca="1" si="25"/>
        <v>0.5380811640737091</v>
      </c>
      <c r="D226">
        <f t="shared" ca="1" si="26"/>
        <v>-0.19965675560790613</v>
      </c>
      <c r="E226">
        <f t="shared" ca="1" si="27"/>
        <v>1</v>
      </c>
      <c r="F226">
        <f t="shared" ca="1" si="28"/>
        <v>-0.19965675560790613</v>
      </c>
      <c r="G226" t="e">
        <f t="shared" ca="1" si="29"/>
        <v>#N/A</v>
      </c>
      <c r="H226" t="e">
        <f>NA()</f>
        <v>#N/A</v>
      </c>
      <c r="I226" t="e">
        <f>NA()</f>
        <v>#N/A</v>
      </c>
      <c r="J226" t="e">
        <f>NA()</f>
        <v>#N/A</v>
      </c>
      <c r="K226" t="e">
        <f>NA()</f>
        <v>#N/A</v>
      </c>
    </row>
    <row r="227" spans="1:11" x14ac:dyDescent="0.25">
      <c r="A227">
        <v>207</v>
      </c>
      <c r="B227">
        <f t="shared" ca="1" si="24"/>
        <v>0.4726201068592768</v>
      </c>
      <c r="C227">
        <f t="shared" ca="1" si="25"/>
        <v>0.50902947081818939</v>
      </c>
      <c r="D227">
        <f t="shared" ca="1" si="26"/>
        <v>-0.10773651042135635</v>
      </c>
      <c r="E227">
        <f t="shared" ca="1" si="27"/>
        <v>1</v>
      </c>
      <c r="F227">
        <f t="shared" ca="1" si="28"/>
        <v>-0.10773651042135635</v>
      </c>
      <c r="G227" t="e">
        <f t="shared" ca="1" si="29"/>
        <v>#N/A</v>
      </c>
      <c r="H227" t="e">
        <f>NA()</f>
        <v>#N/A</v>
      </c>
      <c r="I227" t="e">
        <f>NA()</f>
        <v>#N/A</v>
      </c>
      <c r="J227" t="e">
        <f>NA()</f>
        <v>#N/A</v>
      </c>
      <c r="K227" t="e">
        <f>NA()</f>
        <v>#N/A</v>
      </c>
    </row>
    <row r="228" spans="1:11" x14ac:dyDescent="0.25">
      <c r="A228">
        <v>208</v>
      </c>
      <c r="B228">
        <f t="shared" ca="1" si="24"/>
        <v>0.80890771858381016</v>
      </c>
      <c r="C228">
        <f t="shared" ca="1" si="25"/>
        <v>3.977009860413057</v>
      </c>
      <c r="D228">
        <f t="shared" ca="1" si="26"/>
        <v>4.1498096001470968</v>
      </c>
      <c r="E228">
        <f t="shared" ca="1" si="27"/>
        <v>2</v>
      </c>
      <c r="F228" t="e">
        <f t="shared" ca="1" si="28"/>
        <v>#N/A</v>
      </c>
      <c r="G228">
        <f t="shared" ca="1" si="29"/>
        <v>4.1498096001470968</v>
      </c>
      <c r="H228" t="e">
        <f>NA()</f>
        <v>#N/A</v>
      </c>
      <c r="I228" t="e">
        <f>NA()</f>
        <v>#N/A</v>
      </c>
      <c r="J228" t="e">
        <f>NA()</f>
        <v>#N/A</v>
      </c>
      <c r="K228" t="e">
        <f>NA()</f>
        <v>#N/A</v>
      </c>
    </row>
    <row r="229" spans="1:11" x14ac:dyDescent="0.25">
      <c r="A229">
        <v>209</v>
      </c>
      <c r="B229">
        <f t="shared" ca="1" si="24"/>
        <v>3.684719112679935E-2</v>
      </c>
      <c r="C229">
        <f t="shared" ca="1" si="25"/>
        <v>2.0817972089729606</v>
      </c>
      <c r="D229">
        <f t="shared" ca="1" si="26"/>
        <v>-0.53936400581453048</v>
      </c>
      <c r="E229">
        <f t="shared" ca="1" si="27"/>
        <v>1</v>
      </c>
      <c r="F229">
        <f t="shared" ca="1" si="28"/>
        <v>-0.53936400581453048</v>
      </c>
      <c r="G229" t="e">
        <f t="shared" ca="1" si="29"/>
        <v>#N/A</v>
      </c>
      <c r="H229" t="e">
        <f>NA()</f>
        <v>#N/A</v>
      </c>
      <c r="I229" t="e">
        <f>NA()</f>
        <v>#N/A</v>
      </c>
      <c r="J229" t="e">
        <f>NA()</f>
        <v>#N/A</v>
      </c>
      <c r="K229" t="e">
        <f>NA()</f>
        <v>#N/A</v>
      </c>
    </row>
    <row r="230" spans="1:11" x14ac:dyDescent="0.25">
      <c r="A230">
        <v>210</v>
      </c>
      <c r="B230">
        <f t="shared" ca="1" si="24"/>
        <v>0.11034843944063988</v>
      </c>
      <c r="C230">
        <f t="shared" ca="1" si="25"/>
        <v>-2.1609531679952894</v>
      </c>
      <c r="D230">
        <f t="shared" ca="1" si="26"/>
        <v>2.3642726736193898</v>
      </c>
      <c r="E230">
        <f t="shared" ca="1" si="27"/>
        <v>1</v>
      </c>
      <c r="F230">
        <f t="shared" ca="1" si="28"/>
        <v>2.3642726736193898</v>
      </c>
      <c r="G230" t="e">
        <f t="shared" ca="1" si="29"/>
        <v>#N/A</v>
      </c>
      <c r="H230" t="e">
        <f>NA()</f>
        <v>#N/A</v>
      </c>
      <c r="I230" t="e">
        <f>NA()</f>
        <v>#N/A</v>
      </c>
      <c r="J230" t="e">
        <f>NA()</f>
        <v>#N/A</v>
      </c>
      <c r="K230" t="e">
        <f>NA()</f>
        <v>#N/A</v>
      </c>
    </row>
    <row r="231" spans="1:11" x14ac:dyDescent="0.25">
      <c r="A231">
        <v>211</v>
      </c>
      <c r="B231">
        <f t="shared" ca="1" si="24"/>
        <v>0.66511551653937839</v>
      </c>
      <c r="C231">
        <f t="shared" ca="1" si="25"/>
        <v>4.3702712511337918</v>
      </c>
      <c r="D231">
        <f t="shared" ca="1" si="26"/>
        <v>2.2135463892783753</v>
      </c>
      <c r="E231">
        <f t="shared" ca="1" si="27"/>
        <v>2</v>
      </c>
      <c r="F231" t="e">
        <f t="shared" ca="1" si="28"/>
        <v>#N/A</v>
      </c>
      <c r="G231">
        <f t="shared" ca="1" si="29"/>
        <v>2.2135463892783753</v>
      </c>
      <c r="H231" t="e">
        <f>NA()</f>
        <v>#N/A</v>
      </c>
      <c r="I231" t="e">
        <f>NA()</f>
        <v>#N/A</v>
      </c>
      <c r="J231" t="e">
        <f>NA()</f>
        <v>#N/A</v>
      </c>
      <c r="K231" t="e">
        <f>NA()</f>
        <v>#N/A</v>
      </c>
    </row>
    <row r="232" spans="1:11" x14ac:dyDescent="0.25">
      <c r="A232">
        <v>212</v>
      </c>
      <c r="B232">
        <f t="shared" ca="1" si="24"/>
        <v>0.38668286737987501</v>
      </c>
      <c r="C232">
        <f t="shared" ca="1" si="25"/>
        <v>-0.41050352320463801</v>
      </c>
      <c r="D232">
        <f t="shared" ca="1" si="26"/>
        <v>1.8306056813795402</v>
      </c>
      <c r="E232">
        <f t="shared" ca="1" si="27"/>
        <v>1</v>
      </c>
      <c r="F232">
        <f t="shared" ca="1" si="28"/>
        <v>1.8306056813795402</v>
      </c>
      <c r="G232" t="e">
        <f t="shared" ca="1" si="29"/>
        <v>#N/A</v>
      </c>
      <c r="H232" t="e">
        <f>NA()</f>
        <v>#N/A</v>
      </c>
      <c r="I232" t="e">
        <f>NA()</f>
        <v>#N/A</v>
      </c>
      <c r="J232" t="e">
        <f>NA()</f>
        <v>#N/A</v>
      </c>
      <c r="K232" t="e">
        <f>NA()</f>
        <v>#N/A</v>
      </c>
    </row>
    <row r="233" spans="1:11" x14ac:dyDescent="0.25">
      <c r="A233">
        <v>213</v>
      </c>
      <c r="B233">
        <f t="shared" ca="1" si="24"/>
        <v>5.6273847668380395E-2</v>
      </c>
      <c r="C233">
        <f t="shared" ca="1" si="25"/>
        <v>-6.2618266178431109E-2</v>
      </c>
      <c r="D233">
        <f t="shared" ca="1" si="26"/>
        <v>2.583606754608649</v>
      </c>
      <c r="E233">
        <f t="shared" ca="1" si="27"/>
        <v>1</v>
      </c>
      <c r="F233">
        <f t="shared" ca="1" si="28"/>
        <v>2.583606754608649</v>
      </c>
      <c r="G233" t="e">
        <f t="shared" ca="1" si="29"/>
        <v>#N/A</v>
      </c>
      <c r="H233" t="e">
        <f>NA()</f>
        <v>#N/A</v>
      </c>
      <c r="I233" t="e">
        <f>NA()</f>
        <v>#N/A</v>
      </c>
      <c r="J233" t="e">
        <f>NA()</f>
        <v>#N/A</v>
      </c>
      <c r="K233" t="e">
        <f>NA()</f>
        <v>#N/A</v>
      </c>
    </row>
    <row r="234" spans="1:11" x14ac:dyDescent="0.25">
      <c r="A234">
        <v>214</v>
      </c>
      <c r="B234">
        <f t="shared" ca="1" si="24"/>
        <v>0.35518060451086764</v>
      </c>
      <c r="C234">
        <f t="shared" ca="1" si="25"/>
        <v>0.17055775205909454</v>
      </c>
      <c r="D234">
        <f t="shared" ca="1" si="26"/>
        <v>1.8091667808022951</v>
      </c>
      <c r="E234">
        <f t="shared" ca="1" si="27"/>
        <v>1</v>
      </c>
      <c r="F234">
        <f t="shared" ca="1" si="28"/>
        <v>1.8091667808022951</v>
      </c>
      <c r="G234" t="e">
        <f t="shared" ca="1" si="29"/>
        <v>#N/A</v>
      </c>
      <c r="H234" t="e">
        <f>NA()</f>
        <v>#N/A</v>
      </c>
      <c r="I234" t="e">
        <f>NA()</f>
        <v>#N/A</v>
      </c>
      <c r="J234" t="e">
        <f>NA()</f>
        <v>#N/A</v>
      </c>
      <c r="K234" t="e">
        <f>NA()</f>
        <v>#N/A</v>
      </c>
    </row>
    <row r="235" spans="1:11" x14ac:dyDescent="0.25">
      <c r="A235">
        <v>215</v>
      </c>
      <c r="B235">
        <f t="shared" ca="1" si="24"/>
        <v>0.63131991647711494</v>
      </c>
      <c r="C235">
        <f t="shared" ca="1" si="25"/>
        <v>4.5383816839770184</v>
      </c>
      <c r="D235">
        <f t="shared" ca="1" si="26"/>
        <v>5.2667699745261052</v>
      </c>
      <c r="E235">
        <f t="shared" ca="1" si="27"/>
        <v>2</v>
      </c>
      <c r="F235" t="e">
        <f t="shared" ca="1" si="28"/>
        <v>#N/A</v>
      </c>
      <c r="G235">
        <f t="shared" ca="1" si="29"/>
        <v>5.2667699745261052</v>
      </c>
      <c r="H235" t="e">
        <f>NA()</f>
        <v>#N/A</v>
      </c>
      <c r="I235" t="e">
        <f>NA()</f>
        <v>#N/A</v>
      </c>
      <c r="J235" t="e">
        <f>NA()</f>
        <v>#N/A</v>
      </c>
      <c r="K235" t="e">
        <f>NA()</f>
        <v>#N/A</v>
      </c>
    </row>
    <row r="236" spans="1:11" x14ac:dyDescent="0.25">
      <c r="A236">
        <v>216</v>
      </c>
      <c r="B236">
        <f t="shared" ca="1" si="24"/>
        <v>0.63500469098821333</v>
      </c>
      <c r="C236">
        <f t="shared" ca="1" si="25"/>
        <v>4.4589369634863525</v>
      </c>
      <c r="D236">
        <f t="shared" ca="1" si="26"/>
        <v>2.9194415455118436</v>
      </c>
      <c r="E236">
        <f t="shared" ca="1" si="27"/>
        <v>2</v>
      </c>
      <c r="F236" t="e">
        <f t="shared" ca="1" si="28"/>
        <v>#N/A</v>
      </c>
      <c r="G236">
        <f t="shared" ca="1" si="29"/>
        <v>2.9194415455118436</v>
      </c>
      <c r="H236" t="e">
        <f>NA()</f>
        <v>#N/A</v>
      </c>
      <c r="I236" t="e">
        <f>NA()</f>
        <v>#N/A</v>
      </c>
      <c r="J236" t="e">
        <f>NA()</f>
        <v>#N/A</v>
      </c>
      <c r="K236" t="e">
        <f>NA()</f>
        <v>#N/A</v>
      </c>
    </row>
    <row r="237" spans="1:11" x14ac:dyDescent="0.25">
      <c r="A237">
        <v>217</v>
      </c>
      <c r="B237">
        <f t="shared" ca="1" si="24"/>
        <v>0.96681072540515978</v>
      </c>
      <c r="C237">
        <f t="shared" ca="1" si="25"/>
        <v>3.0033007163026428</v>
      </c>
      <c r="D237">
        <f t="shared" ca="1" si="26"/>
        <v>2.9788318329256351</v>
      </c>
      <c r="E237">
        <f t="shared" ca="1" si="27"/>
        <v>2</v>
      </c>
      <c r="F237" t="e">
        <f t="shared" ca="1" si="28"/>
        <v>#N/A</v>
      </c>
      <c r="G237">
        <f t="shared" ca="1" si="29"/>
        <v>2.9788318329256351</v>
      </c>
      <c r="H237" t="e">
        <f>NA()</f>
        <v>#N/A</v>
      </c>
      <c r="I237" t="e">
        <f>NA()</f>
        <v>#N/A</v>
      </c>
      <c r="J237" t="e">
        <f>NA()</f>
        <v>#N/A</v>
      </c>
      <c r="K237" t="e">
        <f>NA()</f>
        <v>#N/A</v>
      </c>
    </row>
    <row r="238" spans="1:11" x14ac:dyDescent="0.25">
      <c r="A238">
        <v>218</v>
      </c>
      <c r="B238">
        <f t="shared" ca="1" si="24"/>
        <v>0.54139157327247289</v>
      </c>
      <c r="C238">
        <f t="shared" ca="1" si="25"/>
        <v>-2.7989657496382931</v>
      </c>
      <c r="D238">
        <f t="shared" ca="1" si="26"/>
        <v>0.58544182569837511</v>
      </c>
      <c r="E238">
        <f t="shared" ca="1" si="27"/>
        <v>1</v>
      </c>
      <c r="F238">
        <f t="shared" ca="1" si="28"/>
        <v>0.58544182569837511</v>
      </c>
      <c r="G238" t="e">
        <f t="shared" ca="1" si="29"/>
        <v>#N/A</v>
      </c>
      <c r="H238" t="e">
        <f>NA()</f>
        <v>#N/A</v>
      </c>
      <c r="I238" t="e">
        <f>NA()</f>
        <v>#N/A</v>
      </c>
      <c r="J238" t="e">
        <f>NA()</f>
        <v>#N/A</v>
      </c>
      <c r="K238" t="e">
        <f>NA()</f>
        <v>#N/A</v>
      </c>
    </row>
    <row r="239" spans="1:11" x14ac:dyDescent="0.25">
      <c r="A239">
        <v>219</v>
      </c>
      <c r="B239">
        <f t="shared" ca="1" si="24"/>
        <v>0.21558207226402804</v>
      </c>
      <c r="C239">
        <f t="shared" ca="1" si="25"/>
        <v>1.5410409685679289E-2</v>
      </c>
      <c r="D239">
        <f t="shared" ca="1" si="26"/>
        <v>-0.93256346083726616</v>
      </c>
      <c r="E239">
        <f t="shared" ca="1" si="27"/>
        <v>1</v>
      </c>
      <c r="F239">
        <f t="shared" ca="1" si="28"/>
        <v>-0.93256346083726616</v>
      </c>
      <c r="G239" t="e">
        <f t="shared" ca="1" si="29"/>
        <v>#N/A</v>
      </c>
      <c r="H239" t="e">
        <f>NA()</f>
        <v>#N/A</v>
      </c>
      <c r="I239" t="e">
        <f>NA()</f>
        <v>#N/A</v>
      </c>
      <c r="J239" t="e">
        <f>NA()</f>
        <v>#N/A</v>
      </c>
      <c r="K239" t="e">
        <f>NA()</f>
        <v>#N/A</v>
      </c>
    </row>
    <row r="240" spans="1:11" x14ac:dyDescent="0.25">
      <c r="A240">
        <v>220</v>
      </c>
      <c r="B240">
        <f t="shared" ca="1" si="24"/>
        <v>0.26388643379784926</v>
      </c>
      <c r="C240">
        <f t="shared" ca="1" si="25"/>
        <v>2.5147347693945865</v>
      </c>
      <c r="D240">
        <f t="shared" ca="1" si="26"/>
        <v>-9.9667964351168314E-2</v>
      </c>
      <c r="E240">
        <f t="shared" ca="1" si="27"/>
        <v>1</v>
      </c>
      <c r="F240">
        <f t="shared" ca="1" si="28"/>
        <v>-9.9667964351168314E-2</v>
      </c>
      <c r="G240" t="e">
        <f t="shared" ca="1" si="29"/>
        <v>#N/A</v>
      </c>
      <c r="H240" t="e">
        <f>NA()</f>
        <v>#N/A</v>
      </c>
      <c r="I240" t="e">
        <f>NA()</f>
        <v>#N/A</v>
      </c>
      <c r="J240" t="e">
        <f>NA()</f>
        <v>#N/A</v>
      </c>
      <c r="K240" t="e">
        <f>NA()</f>
        <v>#N/A</v>
      </c>
    </row>
    <row r="241" spans="1:11" x14ac:dyDescent="0.25">
      <c r="A241">
        <v>221</v>
      </c>
      <c r="B241">
        <f t="shared" ca="1" si="24"/>
        <v>0.81456001550929624</v>
      </c>
      <c r="C241">
        <f t="shared" ca="1" si="25"/>
        <v>3.4621434231754362</v>
      </c>
      <c r="D241">
        <f t="shared" ca="1" si="26"/>
        <v>2.7275734846333619</v>
      </c>
      <c r="E241">
        <f t="shared" ca="1" si="27"/>
        <v>2</v>
      </c>
      <c r="F241" t="e">
        <f t="shared" ca="1" si="28"/>
        <v>#N/A</v>
      </c>
      <c r="G241">
        <f t="shared" ca="1" si="29"/>
        <v>2.7275734846333619</v>
      </c>
      <c r="H241" t="e">
        <f>NA()</f>
        <v>#N/A</v>
      </c>
      <c r="I241" t="e">
        <f>NA()</f>
        <v>#N/A</v>
      </c>
      <c r="J241" t="e">
        <f>NA()</f>
        <v>#N/A</v>
      </c>
      <c r="K241" t="e">
        <f>NA()</f>
        <v>#N/A</v>
      </c>
    </row>
    <row r="242" spans="1:11" x14ac:dyDescent="0.25">
      <c r="A242">
        <v>222</v>
      </c>
      <c r="B242">
        <f t="shared" ca="1" si="24"/>
        <v>0.1316982964237674</v>
      </c>
      <c r="C242">
        <f t="shared" ca="1" si="25"/>
        <v>-0.74486570444635003</v>
      </c>
      <c r="D242">
        <f t="shared" ca="1" si="26"/>
        <v>-0.35113445105427521</v>
      </c>
      <c r="E242">
        <f t="shared" ca="1" si="27"/>
        <v>1</v>
      </c>
      <c r="F242">
        <f t="shared" ca="1" si="28"/>
        <v>-0.35113445105427521</v>
      </c>
      <c r="G242" t="e">
        <f t="shared" ca="1" si="29"/>
        <v>#N/A</v>
      </c>
      <c r="H242" t="e">
        <f>NA()</f>
        <v>#N/A</v>
      </c>
      <c r="I242" t="e">
        <f>NA()</f>
        <v>#N/A</v>
      </c>
      <c r="J242" t="e">
        <f>NA()</f>
        <v>#N/A</v>
      </c>
      <c r="K242" t="e">
        <f>NA()</f>
        <v>#N/A</v>
      </c>
    </row>
    <row r="243" spans="1:11" x14ac:dyDescent="0.25">
      <c r="A243">
        <v>223</v>
      </c>
      <c r="B243">
        <f t="shared" ca="1" si="24"/>
        <v>0.25253489410717922</v>
      </c>
      <c r="C243">
        <f t="shared" ca="1" si="25"/>
        <v>-2.9725137044829695</v>
      </c>
      <c r="D243">
        <f t="shared" ca="1" si="26"/>
        <v>0.1173512326641154</v>
      </c>
      <c r="E243">
        <f t="shared" ca="1" si="27"/>
        <v>1</v>
      </c>
      <c r="F243">
        <f t="shared" ca="1" si="28"/>
        <v>0.1173512326641154</v>
      </c>
      <c r="G243" t="e">
        <f t="shared" ca="1" si="29"/>
        <v>#N/A</v>
      </c>
      <c r="H243" t="e">
        <f>NA()</f>
        <v>#N/A</v>
      </c>
      <c r="I243" t="e">
        <f>NA()</f>
        <v>#N/A</v>
      </c>
      <c r="J243" t="e">
        <f>NA()</f>
        <v>#N/A</v>
      </c>
      <c r="K243" t="e">
        <f>NA()</f>
        <v>#N/A</v>
      </c>
    </row>
    <row r="244" spans="1:11" x14ac:dyDescent="0.25">
      <c r="A244">
        <v>224</v>
      </c>
      <c r="B244">
        <f t="shared" ca="1" si="24"/>
        <v>0.51929974616347307</v>
      </c>
      <c r="C244">
        <f t="shared" ca="1" si="25"/>
        <v>0.9774695388222977</v>
      </c>
      <c r="D244">
        <f t="shared" ca="1" si="26"/>
        <v>0.48569285183833488</v>
      </c>
      <c r="E244">
        <f t="shared" ca="1" si="27"/>
        <v>1</v>
      </c>
      <c r="F244">
        <f t="shared" ca="1" si="28"/>
        <v>0.48569285183833488</v>
      </c>
      <c r="G244" t="e">
        <f t="shared" ca="1" si="29"/>
        <v>#N/A</v>
      </c>
      <c r="H244" t="e">
        <f>NA()</f>
        <v>#N/A</v>
      </c>
      <c r="I244" t="e">
        <f>NA()</f>
        <v>#N/A</v>
      </c>
      <c r="J244" t="e">
        <f>NA()</f>
        <v>#N/A</v>
      </c>
      <c r="K244" t="e">
        <f>NA()</f>
        <v>#N/A</v>
      </c>
    </row>
    <row r="245" spans="1:11" x14ac:dyDescent="0.25">
      <c r="A245">
        <v>225</v>
      </c>
      <c r="B245">
        <f t="shared" ca="1" si="24"/>
        <v>0.87518356314353651</v>
      </c>
      <c r="C245">
        <f t="shared" ca="1" si="25"/>
        <v>3.724467613899745</v>
      </c>
      <c r="D245">
        <f t="shared" ca="1" si="26"/>
        <v>4.3282449375996341</v>
      </c>
      <c r="E245">
        <f t="shared" ca="1" si="27"/>
        <v>2</v>
      </c>
      <c r="F245" t="e">
        <f t="shared" ca="1" si="28"/>
        <v>#N/A</v>
      </c>
      <c r="G245">
        <f t="shared" ca="1" si="29"/>
        <v>4.3282449375996341</v>
      </c>
      <c r="H245" t="e">
        <f>NA()</f>
        <v>#N/A</v>
      </c>
      <c r="I245" t="e">
        <f>NA()</f>
        <v>#N/A</v>
      </c>
      <c r="J245" t="e">
        <f>NA()</f>
        <v>#N/A</v>
      </c>
      <c r="K245" t="e">
        <f>NA()</f>
        <v>#N/A</v>
      </c>
    </row>
    <row r="246" spans="1:11" x14ac:dyDescent="0.25">
      <c r="A246">
        <v>226</v>
      </c>
      <c r="B246">
        <f t="shared" ca="1" si="24"/>
        <v>0.82359781651401109</v>
      </c>
      <c r="C246">
        <f t="shared" ca="1" si="25"/>
        <v>3.0102851023385737</v>
      </c>
      <c r="D246">
        <f t="shared" ca="1" si="26"/>
        <v>2.0550423751743478</v>
      </c>
      <c r="E246">
        <f t="shared" ca="1" si="27"/>
        <v>2</v>
      </c>
      <c r="F246" t="e">
        <f t="shared" ca="1" si="28"/>
        <v>#N/A</v>
      </c>
      <c r="G246">
        <f t="shared" ca="1" si="29"/>
        <v>2.0550423751743478</v>
      </c>
      <c r="H246" t="e">
        <f>NA()</f>
        <v>#N/A</v>
      </c>
      <c r="I246" t="e">
        <f>NA()</f>
        <v>#N/A</v>
      </c>
      <c r="J246" t="e">
        <f>NA()</f>
        <v>#N/A</v>
      </c>
      <c r="K246" t="e">
        <f>NA()</f>
        <v>#N/A</v>
      </c>
    </row>
    <row r="247" spans="1:11" x14ac:dyDescent="0.25">
      <c r="A247">
        <v>227</v>
      </c>
      <c r="B247">
        <f t="shared" ca="1" si="24"/>
        <v>0.5426304366544038</v>
      </c>
      <c r="C247">
        <f t="shared" ca="1" si="25"/>
        <v>-7.5859515060672456E-2</v>
      </c>
      <c r="D247">
        <f t="shared" ca="1" si="26"/>
        <v>0.74572692259700557</v>
      </c>
      <c r="E247">
        <f t="shared" ca="1" si="27"/>
        <v>1</v>
      </c>
      <c r="F247">
        <f t="shared" ca="1" si="28"/>
        <v>0.74572692259700557</v>
      </c>
      <c r="G247" t="e">
        <f t="shared" ca="1" si="29"/>
        <v>#N/A</v>
      </c>
      <c r="H247" t="e">
        <f>NA()</f>
        <v>#N/A</v>
      </c>
      <c r="I247" t="e">
        <f>NA()</f>
        <v>#N/A</v>
      </c>
      <c r="J247" t="e">
        <f>NA()</f>
        <v>#N/A</v>
      </c>
      <c r="K247" t="e">
        <f>NA()</f>
        <v>#N/A</v>
      </c>
    </row>
    <row r="248" spans="1:11" x14ac:dyDescent="0.25">
      <c r="A248">
        <v>228</v>
      </c>
      <c r="B248">
        <f t="shared" ca="1" si="24"/>
        <v>0.9455695617538733</v>
      </c>
      <c r="C248">
        <f t="shared" ca="1" si="25"/>
        <v>3.7814952237381476</v>
      </c>
      <c r="D248">
        <f t="shared" ca="1" si="26"/>
        <v>3.0873338918488669</v>
      </c>
      <c r="E248">
        <f t="shared" ca="1" si="27"/>
        <v>2</v>
      </c>
      <c r="F248" t="e">
        <f t="shared" ca="1" si="28"/>
        <v>#N/A</v>
      </c>
      <c r="G248">
        <f t="shared" ca="1" si="29"/>
        <v>3.0873338918488669</v>
      </c>
      <c r="H248" t="e">
        <f>NA()</f>
        <v>#N/A</v>
      </c>
      <c r="I248" t="e">
        <f>NA()</f>
        <v>#N/A</v>
      </c>
      <c r="J248" t="e">
        <f>NA()</f>
        <v>#N/A</v>
      </c>
      <c r="K248" t="e">
        <f>NA()</f>
        <v>#N/A</v>
      </c>
    </row>
    <row r="249" spans="1:11" x14ac:dyDescent="0.25">
      <c r="A249">
        <v>229</v>
      </c>
      <c r="B249">
        <f t="shared" ca="1" si="24"/>
        <v>9.7005289303478959E-2</v>
      </c>
      <c r="C249">
        <f t="shared" ca="1" si="25"/>
        <v>1.9405189585381177</v>
      </c>
      <c r="D249">
        <f t="shared" ca="1" si="26"/>
        <v>0.4736822389642722</v>
      </c>
      <c r="E249">
        <f t="shared" ca="1" si="27"/>
        <v>1</v>
      </c>
      <c r="F249">
        <f t="shared" ca="1" si="28"/>
        <v>0.4736822389642722</v>
      </c>
      <c r="G249" t="e">
        <f t="shared" ca="1" si="29"/>
        <v>#N/A</v>
      </c>
      <c r="H249" t="e">
        <f>NA()</f>
        <v>#N/A</v>
      </c>
      <c r="I249" t="e">
        <f>NA()</f>
        <v>#N/A</v>
      </c>
      <c r="J249" t="e">
        <f>NA()</f>
        <v>#N/A</v>
      </c>
      <c r="K249" t="e">
        <f>NA()</f>
        <v>#N/A</v>
      </c>
    </row>
    <row r="250" spans="1:11" x14ac:dyDescent="0.25">
      <c r="A250">
        <v>230</v>
      </c>
      <c r="B250">
        <f t="shared" ca="1" si="24"/>
        <v>0.25079742798620908</v>
      </c>
      <c r="C250">
        <f t="shared" ca="1" si="25"/>
        <v>-2.0338773306604985</v>
      </c>
      <c r="D250">
        <f t="shared" ca="1" si="26"/>
        <v>-0.50085315674502606</v>
      </c>
      <c r="E250">
        <f t="shared" ca="1" si="27"/>
        <v>1</v>
      </c>
      <c r="F250">
        <f t="shared" ca="1" si="28"/>
        <v>-0.50085315674502606</v>
      </c>
      <c r="G250" t="e">
        <f t="shared" ca="1" si="29"/>
        <v>#N/A</v>
      </c>
      <c r="H250" t="e">
        <f>NA()</f>
        <v>#N/A</v>
      </c>
      <c r="I250" t="e">
        <f>NA()</f>
        <v>#N/A</v>
      </c>
      <c r="J250" t="e">
        <f>NA()</f>
        <v>#N/A</v>
      </c>
      <c r="K250" t="e">
        <f>NA()</f>
        <v>#N/A</v>
      </c>
    </row>
    <row r="251" spans="1:11" x14ac:dyDescent="0.25">
      <c r="A251">
        <v>231</v>
      </c>
      <c r="B251">
        <f t="shared" ca="1" si="24"/>
        <v>2.7633815665188965E-3</v>
      </c>
      <c r="C251">
        <f t="shared" ca="1" si="25"/>
        <v>-0.78101516821743877</v>
      </c>
      <c r="D251">
        <f t="shared" ca="1" si="26"/>
        <v>0.51824722708822724</v>
      </c>
      <c r="E251">
        <f t="shared" ca="1" si="27"/>
        <v>1</v>
      </c>
      <c r="F251">
        <f t="shared" ca="1" si="28"/>
        <v>0.51824722708822724</v>
      </c>
      <c r="G251" t="e">
        <f t="shared" ca="1" si="29"/>
        <v>#N/A</v>
      </c>
      <c r="H251" t="e">
        <f>NA()</f>
        <v>#N/A</v>
      </c>
      <c r="I251" t="e">
        <f>NA()</f>
        <v>#N/A</v>
      </c>
      <c r="J251" t="e">
        <f>NA()</f>
        <v>#N/A</v>
      </c>
      <c r="K251" t="e">
        <f>NA()</f>
        <v>#N/A</v>
      </c>
    </row>
    <row r="252" spans="1:11" x14ac:dyDescent="0.25">
      <c r="A252">
        <v>232</v>
      </c>
      <c r="B252">
        <f t="shared" ca="1" si="24"/>
        <v>0.94050475298034053</v>
      </c>
      <c r="C252">
        <f t="shared" ca="1" si="25"/>
        <v>3.9216349477641197</v>
      </c>
      <c r="D252">
        <f t="shared" ca="1" si="26"/>
        <v>4.9023124216509801</v>
      </c>
      <c r="E252">
        <f t="shared" ca="1" si="27"/>
        <v>2</v>
      </c>
      <c r="F252" t="e">
        <f t="shared" ca="1" si="28"/>
        <v>#N/A</v>
      </c>
      <c r="G252">
        <f t="shared" ca="1" si="29"/>
        <v>4.9023124216509801</v>
      </c>
      <c r="H252" t="e">
        <f>NA()</f>
        <v>#N/A</v>
      </c>
      <c r="I252" t="e">
        <f>NA()</f>
        <v>#N/A</v>
      </c>
      <c r="J252" t="e">
        <f>NA()</f>
        <v>#N/A</v>
      </c>
      <c r="K252" t="e">
        <f>NA()</f>
        <v>#N/A</v>
      </c>
    </row>
    <row r="253" spans="1:11" x14ac:dyDescent="0.25">
      <c r="A253">
        <v>233</v>
      </c>
      <c r="B253">
        <f t="shared" ca="1" si="24"/>
        <v>0.11106832013274037</v>
      </c>
      <c r="C253">
        <f t="shared" ca="1" si="25"/>
        <v>0.33204188270264484</v>
      </c>
      <c r="D253">
        <f t="shared" ca="1" si="26"/>
        <v>0.62545665015520135</v>
      </c>
      <c r="E253">
        <f t="shared" ca="1" si="27"/>
        <v>1</v>
      </c>
      <c r="F253">
        <f t="shared" ca="1" si="28"/>
        <v>0.62545665015520135</v>
      </c>
      <c r="G253" t="e">
        <f t="shared" ca="1" si="29"/>
        <v>#N/A</v>
      </c>
      <c r="H253" t="e">
        <f>NA()</f>
        <v>#N/A</v>
      </c>
      <c r="I253" t="e">
        <f>NA()</f>
        <v>#N/A</v>
      </c>
      <c r="J253" t="e">
        <f>NA()</f>
        <v>#N/A</v>
      </c>
      <c r="K253" t="e">
        <f>NA()</f>
        <v>#N/A</v>
      </c>
    </row>
    <row r="254" spans="1:11" x14ac:dyDescent="0.25">
      <c r="A254">
        <v>234</v>
      </c>
      <c r="B254">
        <f t="shared" ca="1" si="24"/>
        <v>0.12677376266444762</v>
      </c>
      <c r="C254">
        <f t="shared" ca="1" si="25"/>
        <v>-0.34524879174840428</v>
      </c>
      <c r="D254">
        <f t="shared" ca="1" si="26"/>
        <v>0.93293584970089594</v>
      </c>
      <c r="E254">
        <f t="shared" ca="1" si="27"/>
        <v>1</v>
      </c>
      <c r="F254">
        <f t="shared" ca="1" si="28"/>
        <v>0.93293584970089594</v>
      </c>
      <c r="G254" t="e">
        <f t="shared" ca="1" si="29"/>
        <v>#N/A</v>
      </c>
      <c r="H254" t="e">
        <f>NA()</f>
        <v>#N/A</v>
      </c>
      <c r="I254" t="e">
        <f>NA()</f>
        <v>#N/A</v>
      </c>
      <c r="J254" t="e">
        <f>NA()</f>
        <v>#N/A</v>
      </c>
      <c r="K254" t="e">
        <f>NA()</f>
        <v>#N/A</v>
      </c>
    </row>
    <row r="255" spans="1:11" x14ac:dyDescent="0.25">
      <c r="A255">
        <v>235</v>
      </c>
      <c r="B255">
        <f t="shared" ca="1" si="24"/>
        <v>0.66057005652850576</v>
      </c>
      <c r="C255">
        <f t="shared" ca="1" si="25"/>
        <v>4.42327118088979</v>
      </c>
      <c r="D255">
        <f t="shared" ca="1" si="26"/>
        <v>1.1795911903684955</v>
      </c>
      <c r="E255">
        <f t="shared" ca="1" si="27"/>
        <v>2</v>
      </c>
      <c r="F255" t="e">
        <f t="shared" ca="1" si="28"/>
        <v>#N/A</v>
      </c>
      <c r="G255">
        <f t="shared" ca="1" si="29"/>
        <v>1.1795911903684955</v>
      </c>
      <c r="H255" t="e">
        <f>NA()</f>
        <v>#N/A</v>
      </c>
      <c r="I255" t="e">
        <f>NA()</f>
        <v>#N/A</v>
      </c>
      <c r="J255" t="e">
        <f>NA()</f>
        <v>#N/A</v>
      </c>
      <c r="K255" t="e">
        <f>NA()</f>
        <v>#N/A</v>
      </c>
    </row>
    <row r="256" spans="1:11" x14ac:dyDescent="0.25">
      <c r="A256">
        <v>236</v>
      </c>
      <c r="B256">
        <f t="shared" ca="1" si="24"/>
        <v>0.18832827762233939</v>
      </c>
      <c r="C256">
        <f t="shared" ca="1" si="25"/>
        <v>-1.2732597089994684</v>
      </c>
      <c r="D256">
        <f t="shared" ca="1" si="26"/>
        <v>1.0163455936523664</v>
      </c>
      <c r="E256">
        <f t="shared" ca="1" si="27"/>
        <v>1</v>
      </c>
      <c r="F256">
        <f t="shared" ca="1" si="28"/>
        <v>1.0163455936523664</v>
      </c>
      <c r="G256" t="e">
        <f t="shared" ca="1" si="29"/>
        <v>#N/A</v>
      </c>
      <c r="H256" t="e">
        <f>NA()</f>
        <v>#N/A</v>
      </c>
      <c r="I256" t="e">
        <f>NA()</f>
        <v>#N/A</v>
      </c>
      <c r="J256" t="e">
        <f>NA()</f>
        <v>#N/A</v>
      </c>
      <c r="K256" t="e">
        <f>NA()</f>
        <v>#N/A</v>
      </c>
    </row>
    <row r="257" spans="1:11" x14ac:dyDescent="0.25">
      <c r="A257">
        <v>237</v>
      </c>
      <c r="B257">
        <f t="shared" ca="1" si="24"/>
        <v>0.33791550208716559</v>
      </c>
      <c r="C257">
        <f t="shared" ca="1" si="25"/>
        <v>0.8844860001229764</v>
      </c>
      <c r="D257">
        <f t="shared" ca="1" si="26"/>
        <v>1.0533477324721496</v>
      </c>
      <c r="E257">
        <f t="shared" ca="1" si="27"/>
        <v>1</v>
      </c>
      <c r="F257">
        <f t="shared" ca="1" si="28"/>
        <v>1.0533477324721496</v>
      </c>
      <c r="G257" t="e">
        <f t="shared" ca="1" si="29"/>
        <v>#N/A</v>
      </c>
      <c r="H257" t="e">
        <f>NA()</f>
        <v>#N/A</v>
      </c>
      <c r="I257" t="e">
        <f>NA()</f>
        <v>#N/A</v>
      </c>
      <c r="J257" t="e">
        <f>NA()</f>
        <v>#N/A</v>
      </c>
      <c r="K257" t="e">
        <f>NA()</f>
        <v>#N/A</v>
      </c>
    </row>
    <row r="258" spans="1:11" x14ac:dyDescent="0.25">
      <c r="A258">
        <v>238</v>
      </c>
      <c r="B258">
        <f t="shared" ca="1" si="24"/>
        <v>0.25310228390600664</v>
      </c>
      <c r="C258">
        <f t="shared" ca="1" si="25"/>
        <v>-1.4683558503922682</v>
      </c>
      <c r="D258">
        <f t="shared" ca="1" si="26"/>
        <v>-1.7699186127958473</v>
      </c>
      <c r="E258">
        <f t="shared" ca="1" si="27"/>
        <v>1</v>
      </c>
      <c r="F258">
        <f t="shared" ca="1" si="28"/>
        <v>-1.7699186127958473</v>
      </c>
      <c r="G258" t="e">
        <f t="shared" ca="1" si="29"/>
        <v>#N/A</v>
      </c>
      <c r="H258" t="e">
        <f>NA()</f>
        <v>#N/A</v>
      </c>
      <c r="I258" t="e">
        <f>NA()</f>
        <v>#N/A</v>
      </c>
      <c r="J258" t="e">
        <f>NA()</f>
        <v>#N/A</v>
      </c>
      <c r="K258" t="e">
        <f>NA()</f>
        <v>#N/A</v>
      </c>
    </row>
    <row r="259" spans="1:11" x14ac:dyDescent="0.25">
      <c r="A259">
        <v>239</v>
      </c>
      <c r="B259">
        <f t="shared" ca="1" si="24"/>
        <v>1.3171438619361875E-2</v>
      </c>
      <c r="C259">
        <f t="shared" ca="1" si="25"/>
        <v>-0.34032092828903077</v>
      </c>
      <c r="D259">
        <f t="shared" ca="1" si="26"/>
        <v>-1.1524581461083181</v>
      </c>
      <c r="E259">
        <f t="shared" ca="1" si="27"/>
        <v>1</v>
      </c>
      <c r="F259">
        <f t="shared" ca="1" si="28"/>
        <v>-1.1524581461083181</v>
      </c>
      <c r="G259" t="e">
        <f t="shared" ca="1" si="29"/>
        <v>#N/A</v>
      </c>
      <c r="H259" t="e">
        <f>NA()</f>
        <v>#N/A</v>
      </c>
      <c r="I259" t="e">
        <f>NA()</f>
        <v>#N/A</v>
      </c>
      <c r="J259" t="e">
        <f>NA()</f>
        <v>#N/A</v>
      </c>
      <c r="K259" t="e">
        <f>NA()</f>
        <v>#N/A</v>
      </c>
    </row>
    <row r="260" spans="1:11" x14ac:dyDescent="0.25">
      <c r="A260">
        <v>240</v>
      </c>
      <c r="B260">
        <f t="shared" ca="1" si="24"/>
        <v>0.50185411257970725</v>
      </c>
      <c r="C260">
        <f t="shared" ca="1" si="25"/>
        <v>-2.3522224014457014</v>
      </c>
      <c r="D260">
        <f t="shared" ca="1" si="26"/>
        <v>1.3257547980981379</v>
      </c>
      <c r="E260">
        <f t="shared" ca="1" si="27"/>
        <v>1</v>
      </c>
      <c r="F260">
        <f t="shared" ca="1" si="28"/>
        <v>1.3257547980981379</v>
      </c>
      <c r="G260" t="e">
        <f t="shared" ca="1" si="29"/>
        <v>#N/A</v>
      </c>
      <c r="H260" t="e">
        <f>NA()</f>
        <v>#N/A</v>
      </c>
      <c r="I260" t="e">
        <f>NA()</f>
        <v>#N/A</v>
      </c>
      <c r="J260" t="e">
        <f>NA()</f>
        <v>#N/A</v>
      </c>
      <c r="K260" t="e">
        <f>NA()</f>
        <v>#N/A</v>
      </c>
    </row>
    <row r="261" spans="1:11" x14ac:dyDescent="0.25">
      <c r="A261">
        <v>241</v>
      </c>
      <c r="B261">
        <f t="shared" ca="1" si="24"/>
        <v>0.67862938349845525</v>
      </c>
      <c r="C261">
        <f t="shared" ca="1" si="25"/>
        <v>3.8673859093733296</v>
      </c>
      <c r="D261">
        <f t="shared" ca="1" si="26"/>
        <v>3.3409246339002148</v>
      </c>
      <c r="E261">
        <f t="shared" ca="1" si="27"/>
        <v>2</v>
      </c>
      <c r="F261" t="e">
        <f t="shared" ca="1" si="28"/>
        <v>#N/A</v>
      </c>
      <c r="G261">
        <f t="shared" ca="1" si="29"/>
        <v>3.3409246339002148</v>
      </c>
      <c r="H261" t="e">
        <f>NA()</f>
        <v>#N/A</v>
      </c>
      <c r="I261" t="e">
        <f>NA()</f>
        <v>#N/A</v>
      </c>
      <c r="J261" t="e">
        <f>NA()</f>
        <v>#N/A</v>
      </c>
      <c r="K261" t="e">
        <f>NA()</f>
        <v>#N/A</v>
      </c>
    </row>
    <row r="262" spans="1:11" x14ac:dyDescent="0.25">
      <c r="A262">
        <v>242</v>
      </c>
      <c r="B262">
        <f t="shared" ca="1" si="24"/>
        <v>0.82995144394402676</v>
      </c>
      <c r="C262">
        <f t="shared" ca="1" si="25"/>
        <v>2.849238927088138</v>
      </c>
      <c r="D262">
        <f t="shared" ca="1" si="26"/>
        <v>3.0999652848136714</v>
      </c>
      <c r="E262">
        <f t="shared" ca="1" si="27"/>
        <v>2</v>
      </c>
      <c r="F262" t="e">
        <f t="shared" ca="1" si="28"/>
        <v>#N/A</v>
      </c>
      <c r="G262">
        <f t="shared" ca="1" si="29"/>
        <v>3.0999652848136714</v>
      </c>
      <c r="H262" t="e">
        <f>NA()</f>
        <v>#N/A</v>
      </c>
      <c r="I262" t="e">
        <f>NA()</f>
        <v>#N/A</v>
      </c>
      <c r="J262" t="e">
        <f>NA()</f>
        <v>#N/A</v>
      </c>
      <c r="K262" t="e">
        <f>NA()</f>
        <v>#N/A</v>
      </c>
    </row>
    <row r="263" spans="1:11" x14ac:dyDescent="0.25">
      <c r="A263">
        <v>243</v>
      </c>
      <c r="B263">
        <f t="shared" ca="1" si="24"/>
        <v>0.69870199934767108</v>
      </c>
      <c r="C263">
        <f t="shared" ca="1" si="25"/>
        <v>1.8960232341435108</v>
      </c>
      <c r="D263">
        <f t="shared" ca="1" si="26"/>
        <v>2.1043259027750745</v>
      </c>
      <c r="E263">
        <f t="shared" ca="1" si="27"/>
        <v>2</v>
      </c>
      <c r="F263" t="e">
        <f t="shared" ca="1" si="28"/>
        <v>#N/A</v>
      </c>
      <c r="G263">
        <f t="shared" ca="1" si="29"/>
        <v>2.1043259027750745</v>
      </c>
      <c r="H263" t="e">
        <f>NA()</f>
        <v>#N/A</v>
      </c>
      <c r="I263" t="e">
        <f>NA()</f>
        <v>#N/A</v>
      </c>
      <c r="J263" t="e">
        <f>NA()</f>
        <v>#N/A</v>
      </c>
      <c r="K263" t="e">
        <f>NA()</f>
        <v>#N/A</v>
      </c>
    </row>
    <row r="264" spans="1:11" x14ac:dyDescent="0.25">
      <c r="A264">
        <v>244</v>
      </c>
      <c r="B264">
        <f t="shared" ca="1" si="24"/>
        <v>0.46731451625643805</v>
      </c>
      <c r="C264">
        <f t="shared" ca="1" si="25"/>
        <v>-0.97306885368273188</v>
      </c>
      <c r="D264">
        <f t="shared" ca="1" si="26"/>
        <v>9.7082136552386261E-2</v>
      </c>
      <c r="E264">
        <f t="shared" ca="1" si="27"/>
        <v>1</v>
      </c>
      <c r="F264">
        <f t="shared" ca="1" si="28"/>
        <v>9.7082136552386261E-2</v>
      </c>
      <c r="G264" t="e">
        <f t="shared" ca="1" si="29"/>
        <v>#N/A</v>
      </c>
      <c r="H264" t="e">
        <f>NA()</f>
        <v>#N/A</v>
      </c>
      <c r="I264" t="e">
        <f>NA()</f>
        <v>#N/A</v>
      </c>
      <c r="J264" t="e">
        <f>NA()</f>
        <v>#N/A</v>
      </c>
      <c r="K264" t="e">
        <f>NA()</f>
        <v>#N/A</v>
      </c>
    </row>
    <row r="265" spans="1:11" x14ac:dyDescent="0.25">
      <c r="A265">
        <v>245</v>
      </c>
      <c r="B265">
        <f t="shared" ca="1" si="24"/>
        <v>0.66848801708977723</v>
      </c>
      <c r="C265">
        <f t="shared" ca="1" si="25"/>
        <v>3.7837584559240272</v>
      </c>
      <c r="D265">
        <f t="shared" ca="1" si="26"/>
        <v>2.9378745473502246</v>
      </c>
      <c r="E265">
        <f t="shared" ca="1" si="27"/>
        <v>2</v>
      </c>
      <c r="F265" t="e">
        <f t="shared" ca="1" si="28"/>
        <v>#N/A</v>
      </c>
      <c r="G265">
        <f t="shared" ca="1" si="29"/>
        <v>2.9378745473502246</v>
      </c>
      <c r="H265" t="e">
        <f>NA()</f>
        <v>#N/A</v>
      </c>
      <c r="I265" t="e">
        <f>NA()</f>
        <v>#N/A</v>
      </c>
      <c r="J265" t="e">
        <f>NA()</f>
        <v>#N/A</v>
      </c>
      <c r="K265" t="e">
        <f>NA()</f>
        <v>#N/A</v>
      </c>
    </row>
    <row r="266" spans="1:11" x14ac:dyDescent="0.25">
      <c r="A266">
        <v>246</v>
      </c>
      <c r="B266">
        <f t="shared" ca="1" si="24"/>
        <v>0.51760429307607969</v>
      </c>
      <c r="C266">
        <f t="shared" ca="1" si="25"/>
        <v>-1.9650333445703696</v>
      </c>
      <c r="D266">
        <f t="shared" ca="1" si="26"/>
        <v>0.89597304237209241</v>
      </c>
      <c r="E266">
        <f t="shared" ca="1" si="27"/>
        <v>1</v>
      </c>
      <c r="F266">
        <f t="shared" ca="1" si="28"/>
        <v>0.89597304237209241</v>
      </c>
      <c r="G266" t="e">
        <f t="shared" ca="1" si="29"/>
        <v>#N/A</v>
      </c>
      <c r="H266" t="e">
        <f>NA()</f>
        <v>#N/A</v>
      </c>
      <c r="I266" t="e">
        <f>NA()</f>
        <v>#N/A</v>
      </c>
      <c r="J266" t="e">
        <f>NA()</f>
        <v>#N/A</v>
      </c>
      <c r="K266" t="e">
        <f>NA()</f>
        <v>#N/A</v>
      </c>
    </row>
    <row r="267" spans="1:11" x14ac:dyDescent="0.25">
      <c r="A267">
        <v>247</v>
      </c>
      <c r="B267">
        <f t="shared" ca="1" si="24"/>
        <v>0.51771227337869374</v>
      </c>
      <c r="C267">
        <f t="shared" ca="1" si="25"/>
        <v>0.47569195451308516</v>
      </c>
      <c r="D267">
        <f t="shared" ca="1" si="26"/>
        <v>-1.3423840507968108</v>
      </c>
      <c r="E267">
        <f t="shared" ca="1" si="27"/>
        <v>1</v>
      </c>
      <c r="F267">
        <f t="shared" ca="1" si="28"/>
        <v>-1.3423840507968108</v>
      </c>
      <c r="G267" t="e">
        <f t="shared" ca="1" si="29"/>
        <v>#N/A</v>
      </c>
      <c r="H267" t="e">
        <f>NA()</f>
        <v>#N/A</v>
      </c>
      <c r="I267" t="e">
        <f>NA()</f>
        <v>#N/A</v>
      </c>
      <c r="J267" t="e">
        <f>NA()</f>
        <v>#N/A</v>
      </c>
      <c r="K267" t="e">
        <f>NA()</f>
        <v>#N/A</v>
      </c>
    </row>
    <row r="268" spans="1:11" x14ac:dyDescent="0.25">
      <c r="A268">
        <v>248</v>
      </c>
      <c r="B268">
        <f t="shared" ca="1" si="24"/>
        <v>0.14421948645793781</v>
      </c>
      <c r="C268">
        <f t="shared" ca="1" si="25"/>
        <v>0.45808642542676659</v>
      </c>
      <c r="D268">
        <f t="shared" ca="1" si="26"/>
        <v>-0.20853549018200584</v>
      </c>
      <c r="E268">
        <f t="shared" ca="1" si="27"/>
        <v>1</v>
      </c>
      <c r="F268">
        <f t="shared" ca="1" si="28"/>
        <v>-0.20853549018200584</v>
      </c>
      <c r="G268" t="e">
        <f t="shared" ca="1" si="29"/>
        <v>#N/A</v>
      </c>
      <c r="H268" t="e">
        <f>NA()</f>
        <v>#N/A</v>
      </c>
      <c r="I268" t="e">
        <f>NA()</f>
        <v>#N/A</v>
      </c>
      <c r="J268" t="e">
        <f>NA()</f>
        <v>#N/A</v>
      </c>
      <c r="K268" t="e">
        <f>NA()</f>
        <v>#N/A</v>
      </c>
    </row>
    <row r="269" spans="1:11" x14ac:dyDescent="0.25">
      <c r="A269">
        <v>249</v>
      </c>
      <c r="B269">
        <f t="shared" ca="1" si="24"/>
        <v>3.2734643292848697E-2</v>
      </c>
      <c r="C269">
        <f t="shared" ca="1" si="25"/>
        <v>-1.3188044339446638</v>
      </c>
      <c r="D269">
        <f t="shared" ca="1" si="26"/>
        <v>0.19996728428905589</v>
      </c>
      <c r="E269">
        <f t="shared" ca="1" si="27"/>
        <v>1</v>
      </c>
      <c r="F269">
        <f t="shared" ca="1" si="28"/>
        <v>0.19996728428905589</v>
      </c>
      <c r="G269" t="e">
        <f t="shared" ca="1" si="29"/>
        <v>#N/A</v>
      </c>
      <c r="H269" t="e">
        <f>NA()</f>
        <v>#N/A</v>
      </c>
      <c r="I269" t="e">
        <f>NA()</f>
        <v>#N/A</v>
      </c>
      <c r="J269" t="e">
        <f>NA()</f>
        <v>#N/A</v>
      </c>
      <c r="K269" t="e">
        <f>NA()</f>
        <v>#N/A</v>
      </c>
    </row>
    <row r="270" spans="1:11" x14ac:dyDescent="0.25">
      <c r="A270">
        <v>250</v>
      </c>
      <c r="B270">
        <f t="shared" ca="1" si="24"/>
        <v>0.94217272822188136</v>
      </c>
      <c r="C270">
        <f t="shared" ca="1" si="25"/>
        <v>3.0932403601006069</v>
      </c>
      <c r="D270">
        <f t="shared" ca="1" si="26"/>
        <v>5.6360317963780506</v>
      </c>
      <c r="E270">
        <f t="shared" ca="1" si="27"/>
        <v>2</v>
      </c>
      <c r="F270" t="e">
        <f t="shared" ca="1" si="28"/>
        <v>#N/A</v>
      </c>
      <c r="G270">
        <f t="shared" ca="1" si="29"/>
        <v>5.6360317963780506</v>
      </c>
      <c r="H270" t="e">
        <f>NA()</f>
        <v>#N/A</v>
      </c>
      <c r="I270" t="e">
        <f>NA()</f>
        <v>#N/A</v>
      </c>
      <c r="J270" t="e">
        <f>NA()</f>
        <v>#N/A</v>
      </c>
      <c r="K270" t="e">
        <f>NA()</f>
        <v>#N/A</v>
      </c>
    </row>
    <row r="271" spans="1:11" x14ac:dyDescent="0.25">
      <c r="A271">
        <v>251</v>
      </c>
      <c r="B271">
        <f t="shared" ca="1" si="24"/>
        <v>0.69807563944278439</v>
      </c>
      <c r="C271">
        <f t="shared" ca="1" si="25"/>
        <v>3.5447496577076083</v>
      </c>
      <c r="D271">
        <f t="shared" ca="1" si="26"/>
        <v>4.5054388640530636</v>
      </c>
      <c r="E271">
        <f t="shared" ca="1" si="27"/>
        <v>2</v>
      </c>
      <c r="F271" t="e">
        <f t="shared" ca="1" si="28"/>
        <v>#N/A</v>
      </c>
      <c r="G271">
        <f t="shared" ca="1" si="29"/>
        <v>4.5054388640530636</v>
      </c>
      <c r="H271" t="e">
        <f>NA()</f>
        <v>#N/A</v>
      </c>
      <c r="I271" t="e">
        <f>NA()</f>
        <v>#N/A</v>
      </c>
      <c r="J271" t="e">
        <f>NA()</f>
        <v>#N/A</v>
      </c>
      <c r="K271" t="e">
        <f>NA()</f>
        <v>#N/A</v>
      </c>
    </row>
    <row r="272" spans="1:11" x14ac:dyDescent="0.25">
      <c r="A272">
        <v>252</v>
      </c>
      <c r="B272">
        <f t="shared" ca="1" si="24"/>
        <v>0.22178285537300924</v>
      </c>
      <c r="C272">
        <f t="shared" ca="1" si="25"/>
        <v>1.3969072789912724</v>
      </c>
      <c r="D272">
        <f t="shared" ca="1" si="26"/>
        <v>0.38084823136142532</v>
      </c>
      <c r="E272">
        <f t="shared" ca="1" si="27"/>
        <v>1</v>
      </c>
      <c r="F272">
        <f t="shared" ca="1" si="28"/>
        <v>0.38084823136142532</v>
      </c>
      <c r="G272" t="e">
        <f t="shared" ca="1" si="29"/>
        <v>#N/A</v>
      </c>
      <c r="H272" t="e">
        <f>NA()</f>
        <v>#N/A</v>
      </c>
      <c r="I272" t="e">
        <f>NA()</f>
        <v>#N/A</v>
      </c>
      <c r="J272" t="e">
        <f>NA()</f>
        <v>#N/A</v>
      </c>
      <c r="K272" t="e">
        <f>NA()</f>
        <v>#N/A</v>
      </c>
    </row>
    <row r="273" spans="1:11" x14ac:dyDescent="0.25">
      <c r="A273">
        <v>253</v>
      </c>
      <c r="B273">
        <f t="shared" ca="1" si="24"/>
        <v>0.52834856033858701</v>
      </c>
      <c r="C273">
        <f t="shared" ca="1" si="25"/>
        <v>8.4981925039228093E-2</v>
      </c>
      <c r="D273">
        <f t="shared" ca="1" si="26"/>
        <v>-6.2975295716193702E-2</v>
      </c>
      <c r="E273">
        <f t="shared" ca="1" si="27"/>
        <v>1</v>
      </c>
      <c r="F273">
        <f t="shared" ca="1" si="28"/>
        <v>-6.2975295716193702E-2</v>
      </c>
      <c r="G273" t="e">
        <f t="shared" ca="1" si="29"/>
        <v>#N/A</v>
      </c>
      <c r="H273" t="e">
        <f>NA()</f>
        <v>#N/A</v>
      </c>
      <c r="I273" t="e">
        <f>NA()</f>
        <v>#N/A</v>
      </c>
      <c r="J273" t="e">
        <f>NA()</f>
        <v>#N/A</v>
      </c>
      <c r="K273" t="e">
        <f>NA()</f>
        <v>#N/A</v>
      </c>
    </row>
    <row r="274" spans="1:11" x14ac:dyDescent="0.25">
      <c r="A274">
        <v>254</v>
      </c>
      <c r="B274">
        <f t="shared" ca="1" si="24"/>
        <v>0.21707844355802997</v>
      </c>
      <c r="C274">
        <f t="shared" ca="1" si="25"/>
        <v>-1.0757640103834063</v>
      </c>
      <c r="D274">
        <f t="shared" ca="1" si="26"/>
        <v>0.69036232465409508</v>
      </c>
      <c r="E274">
        <f t="shared" ca="1" si="27"/>
        <v>1</v>
      </c>
      <c r="F274">
        <f t="shared" ca="1" si="28"/>
        <v>0.69036232465409508</v>
      </c>
      <c r="G274" t="e">
        <f t="shared" ca="1" si="29"/>
        <v>#N/A</v>
      </c>
      <c r="H274" t="e">
        <f>NA()</f>
        <v>#N/A</v>
      </c>
      <c r="I274" t="e">
        <f>NA()</f>
        <v>#N/A</v>
      </c>
      <c r="J274" t="e">
        <f>NA()</f>
        <v>#N/A</v>
      </c>
      <c r="K274" t="e">
        <f>NA()</f>
        <v>#N/A</v>
      </c>
    </row>
    <row r="275" spans="1:11" x14ac:dyDescent="0.25">
      <c r="A275">
        <v>255</v>
      </c>
      <c r="B275">
        <f t="shared" ca="1" si="24"/>
        <v>0.83020266914728635</v>
      </c>
      <c r="C275">
        <f t="shared" ca="1" si="25"/>
        <v>2.3477059842388925</v>
      </c>
      <c r="D275">
        <f t="shared" ca="1" si="26"/>
        <v>6.0642501227261523</v>
      </c>
      <c r="E275">
        <f t="shared" ca="1" si="27"/>
        <v>2</v>
      </c>
      <c r="F275" t="e">
        <f t="shared" ca="1" si="28"/>
        <v>#N/A</v>
      </c>
      <c r="G275">
        <f t="shared" ca="1" si="29"/>
        <v>6.0642501227261523</v>
      </c>
      <c r="H275" t="e">
        <f>NA()</f>
        <v>#N/A</v>
      </c>
      <c r="I275" t="e">
        <f>NA()</f>
        <v>#N/A</v>
      </c>
      <c r="J275" t="e">
        <f>NA()</f>
        <v>#N/A</v>
      </c>
      <c r="K275" t="e">
        <f>NA()</f>
        <v>#N/A</v>
      </c>
    </row>
    <row r="276" spans="1:11" x14ac:dyDescent="0.25">
      <c r="A276">
        <v>256</v>
      </c>
      <c r="B276">
        <f t="shared" ca="1" si="24"/>
        <v>5.9506425262009333E-2</v>
      </c>
      <c r="C276">
        <f t="shared" ca="1" si="25"/>
        <v>-0.94749218989137152</v>
      </c>
      <c r="D276">
        <f t="shared" ca="1" si="26"/>
        <v>0.6366397762469922</v>
      </c>
      <c r="E276">
        <f t="shared" ca="1" si="27"/>
        <v>1</v>
      </c>
      <c r="F276">
        <f t="shared" ca="1" si="28"/>
        <v>0.6366397762469922</v>
      </c>
      <c r="G276" t="e">
        <f t="shared" ca="1" si="29"/>
        <v>#N/A</v>
      </c>
      <c r="H276" t="e">
        <f>NA()</f>
        <v>#N/A</v>
      </c>
      <c r="I276" t="e">
        <f>NA()</f>
        <v>#N/A</v>
      </c>
      <c r="J276" t="e">
        <f>NA()</f>
        <v>#N/A</v>
      </c>
      <c r="K276" t="e">
        <f>NA()</f>
        <v>#N/A</v>
      </c>
    </row>
    <row r="277" spans="1:11" x14ac:dyDescent="0.25">
      <c r="A277">
        <v>257</v>
      </c>
      <c r="B277">
        <f t="shared" ref="B277:B320" ca="1" si="30">RAND()</f>
        <v>0.14402439003627099</v>
      </c>
      <c r="C277">
        <f t="shared" ref="C277:C320" ca="1" si="31">IF(E277=1,_xlfn.NORM.INV(RAND(),$D$4,$G$4),_xlfn.NORM.INV(RAND(),$D$14,$G$14))</f>
        <v>-1.700717195856366</v>
      </c>
      <c r="D277">
        <f t="shared" ref="D277:D320" ca="1" si="32">IF(E277=1,_xlfn.NORM.INV(RAND(),$D$5-$L$4/$K$4*(C277-$D$4),SQRT(1/(2*$K$4))),_xlfn.NORM.INV(RAND(),$D$15-$L$14/$K$14*(C277-$D$14),SQRT(1/(2*$K$14))))</f>
        <v>-0.20792831068902601</v>
      </c>
      <c r="E277">
        <f t="shared" ref="E277:E320" ca="1" si="33">IF(B277&lt;$H$1,1,2)</f>
        <v>1</v>
      </c>
      <c r="F277">
        <f t="shared" ca="1" si="28"/>
        <v>-0.20792831068902601</v>
      </c>
      <c r="G277" t="e">
        <f t="shared" ca="1" si="29"/>
        <v>#N/A</v>
      </c>
      <c r="H277" t="e">
        <f>NA()</f>
        <v>#N/A</v>
      </c>
      <c r="I277" t="e">
        <f>NA()</f>
        <v>#N/A</v>
      </c>
      <c r="J277" t="e">
        <f>NA()</f>
        <v>#N/A</v>
      </c>
      <c r="K277" t="e">
        <f>NA()</f>
        <v>#N/A</v>
      </c>
    </row>
    <row r="278" spans="1:11" x14ac:dyDescent="0.25">
      <c r="A278">
        <v>258</v>
      </c>
      <c r="B278">
        <f t="shared" ca="1" si="30"/>
        <v>0.20323776940935301</v>
      </c>
      <c r="C278">
        <f t="shared" ca="1" si="31"/>
        <v>2.5132944957930667</v>
      </c>
      <c r="D278">
        <f t="shared" ca="1" si="32"/>
        <v>-1.1640704235363164</v>
      </c>
      <c r="E278">
        <f t="shared" ca="1" si="33"/>
        <v>1</v>
      </c>
      <c r="F278">
        <f t="shared" ref="F278:F320" ca="1" si="34">IF($E278=1,D278,NA())</f>
        <v>-1.1640704235363164</v>
      </c>
      <c r="G278" t="e">
        <f t="shared" ref="G278:G320" ca="1" si="35">IF($E278=2,D278,NA())</f>
        <v>#N/A</v>
      </c>
      <c r="H278" t="e">
        <f>NA()</f>
        <v>#N/A</v>
      </c>
      <c r="I278" t="e">
        <f>NA()</f>
        <v>#N/A</v>
      </c>
      <c r="J278" t="e">
        <f>NA()</f>
        <v>#N/A</v>
      </c>
      <c r="K278" t="e">
        <f>NA()</f>
        <v>#N/A</v>
      </c>
    </row>
    <row r="279" spans="1:11" x14ac:dyDescent="0.25">
      <c r="A279">
        <v>259</v>
      </c>
      <c r="B279">
        <f t="shared" ca="1" si="30"/>
        <v>0.5215567324915259</v>
      </c>
      <c r="C279">
        <f t="shared" ca="1" si="31"/>
        <v>-9.3572702893365958E-2</v>
      </c>
      <c r="D279">
        <f t="shared" ca="1" si="32"/>
        <v>-0.74141123246123164</v>
      </c>
      <c r="E279">
        <f t="shared" ca="1" si="33"/>
        <v>1</v>
      </c>
      <c r="F279">
        <f t="shared" ca="1" si="34"/>
        <v>-0.74141123246123164</v>
      </c>
      <c r="G279" t="e">
        <f t="shared" ca="1" si="35"/>
        <v>#N/A</v>
      </c>
      <c r="H279" t="e">
        <f>NA()</f>
        <v>#N/A</v>
      </c>
      <c r="I279" t="e">
        <f>NA()</f>
        <v>#N/A</v>
      </c>
      <c r="J279" t="e">
        <f>NA()</f>
        <v>#N/A</v>
      </c>
      <c r="K279" t="e">
        <f>NA()</f>
        <v>#N/A</v>
      </c>
    </row>
    <row r="280" spans="1:11" x14ac:dyDescent="0.25">
      <c r="A280">
        <v>260</v>
      </c>
      <c r="B280">
        <f t="shared" ca="1" si="30"/>
        <v>0.68448499443182909</v>
      </c>
      <c r="C280">
        <f t="shared" ca="1" si="31"/>
        <v>2.8292502336144132</v>
      </c>
      <c r="D280">
        <f t="shared" ca="1" si="32"/>
        <v>5.004967786228943</v>
      </c>
      <c r="E280">
        <f t="shared" ca="1" si="33"/>
        <v>2</v>
      </c>
      <c r="F280" t="e">
        <f t="shared" ca="1" si="34"/>
        <v>#N/A</v>
      </c>
      <c r="G280">
        <f t="shared" ca="1" si="35"/>
        <v>5.004967786228943</v>
      </c>
      <c r="H280" t="e">
        <f>NA()</f>
        <v>#N/A</v>
      </c>
      <c r="I280" t="e">
        <f>NA()</f>
        <v>#N/A</v>
      </c>
      <c r="J280" t="e">
        <f>NA()</f>
        <v>#N/A</v>
      </c>
      <c r="K280" t="e">
        <f>NA()</f>
        <v>#N/A</v>
      </c>
    </row>
    <row r="281" spans="1:11" x14ac:dyDescent="0.25">
      <c r="A281">
        <v>261</v>
      </c>
      <c r="B281">
        <f t="shared" ca="1" si="30"/>
        <v>0.11882798635149716</v>
      </c>
      <c r="C281">
        <f t="shared" ca="1" si="31"/>
        <v>-0.54072638466616718</v>
      </c>
      <c r="D281">
        <f t="shared" ca="1" si="32"/>
        <v>-0.10222283015797726</v>
      </c>
      <c r="E281">
        <f t="shared" ca="1" si="33"/>
        <v>1</v>
      </c>
      <c r="F281">
        <f t="shared" ca="1" si="34"/>
        <v>-0.10222283015797726</v>
      </c>
      <c r="G281" t="e">
        <f t="shared" ca="1" si="35"/>
        <v>#N/A</v>
      </c>
      <c r="H281" t="e">
        <f>NA()</f>
        <v>#N/A</v>
      </c>
      <c r="I281" t="e">
        <f>NA()</f>
        <v>#N/A</v>
      </c>
      <c r="J281" t="e">
        <f>NA()</f>
        <v>#N/A</v>
      </c>
      <c r="K281" t="e">
        <f>NA()</f>
        <v>#N/A</v>
      </c>
    </row>
    <row r="282" spans="1:11" x14ac:dyDescent="0.25">
      <c r="A282">
        <v>262</v>
      </c>
      <c r="B282">
        <f t="shared" ca="1" si="30"/>
        <v>0.63690746415434474</v>
      </c>
      <c r="C282">
        <f t="shared" ca="1" si="31"/>
        <v>4.4061278782140247</v>
      </c>
      <c r="D282">
        <f t="shared" ca="1" si="32"/>
        <v>5.7649803565673885</v>
      </c>
      <c r="E282">
        <f t="shared" ca="1" si="33"/>
        <v>2</v>
      </c>
      <c r="F282" t="e">
        <f t="shared" ca="1" si="34"/>
        <v>#N/A</v>
      </c>
      <c r="G282">
        <f t="shared" ca="1" si="35"/>
        <v>5.7649803565673885</v>
      </c>
      <c r="H282" t="e">
        <f>NA()</f>
        <v>#N/A</v>
      </c>
      <c r="I282" t="e">
        <f>NA()</f>
        <v>#N/A</v>
      </c>
      <c r="J282" t="e">
        <f>NA()</f>
        <v>#N/A</v>
      </c>
      <c r="K282" t="e">
        <f>NA()</f>
        <v>#N/A</v>
      </c>
    </row>
    <row r="283" spans="1:11" x14ac:dyDescent="0.25">
      <c r="A283">
        <v>263</v>
      </c>
      <c r="B283">
        <f t="shared" ca="1" si="30"/>
        <v>0.20009378170873338</v>
      </c>
      <c r="C283">
        <f t="shared" ca="1" si="31"/>
        <v>-1.7167646852384453</v>
      </c>
      <c r="D283">
        <f t="shared" ca="1" si="32"/>
        <v>1.0774812733050081</v>
      </c>
      <c r="E283">
        <f t="shared" ca="1" si="33"/>
        <v>1</v>
      </c>
      <c r="F283">
        <f t="shared" ca="1" si="34"/>
        <v>1.0774812733050081</v>
      </c>
      <c r="G283" t="e">
        <f t="shared" ca="1" si="35"/>
        <v>#N/A</v>
      </c>
      <c r="H283" t="e">
        <f>NA()</f>
        <v>#N/A</v>
      </c>
      <c r="I283" t="e">
        <f>NA()</f>
        <v>#N/A</v>
      </c>
      <c r="J283" t="e">
        <f>NA()</f>
        <v>#N/A</v>
      </c>
      <c r="K283" t="e">
        <f>NA()</f>
        <v>#N/A</v>
      </c>
    </row>
    <row r="284" spans="1:11" x14ac:dyDescent="0.25">
      <c r="A284">
        <v>264</v>
      </c>
      <c r="B284">
        <f t="shared" ca="1" si="30"/>
        <v>6.091147901038263E-2</v>
      </c>
      <c r="C284">
        <f t="shared" ca="1" si="31"/>
        <v>-1.431643816514331</v>
      </c>
      <c r="D284">
        <f t="shared" ca="1" si="32"/>
        <v>-0.17486327053643647</v>
      </c>
      <c r="E284">
        <f t="shared" ca="1" si="33"/>
        <v>1</v>
      </c>
      <c r="F284">
        <f t="shared" ca="1" si="34"/>
        <v>-0.17486327053643647</v>
      </c>
      <c r="G284" t="e">
        <f t="shared" ca="1" si="35"/>
        <v>#N/A</v>
      </c>
      <c r="H284" t="e">
        <f>NA()</f>
        <v>#N/A</v>
      </c>
      <c r="I284" t="e">
        <f>NA()</f>
        <v>#N/A</v>
      </c>
      <c r="J284" t="e">
        <f>NA()</f>
        <v>#N/A</v>
      </c>
      <c r="K284" t="e">
        <f>NA()</f>
        <v>#N/A</v>
      </c>
    </row>
    <row r="285" spans="1:11" x14ac:dyDescent="0.25">
      <c r="A285">
        <v>265</v>
      </c>
      <c r="B285">
        <f t="shared" ca="1" si="30"/>
        <v>0.76874615519317591</v>
      </c>
      <c r="C285">
        <f t="shared" ca="1" si="31"/>
        <v>2.068137222276019</v>
      </c>
      <c r="D285">
        <f t="shared" ca="1" si="32"/>
        <v>4.2257780074675075</v>
      </c>
      <c r="E285">
        <f t="shared" ca="1" si="33"/>
        <v>2</v>
      </c>
      <c r="F285" t="e">
        <f t="shared" ca="1" si="34"/>
        <v>#N/A</v>
      </c>
      <c r="G285">
        <f t="shared" ca="1" si="35"/>
        <v>4.2257780074675075</v>
      </c>
      <c r="H285" t="e">
        <f>NA()</f>
        <v>#N/A</v>
      </c>
      <c r="I285" t="e">
        <f>NA()</f>
        <v>#N/A</v>
      </c>
      <c r="J285" t="e">
        <f>NA()</f>
        <v>#N/A</v>
      </c>
      <c r="K285" t="e">
        <f>NA()</f>
        <v>#N/A</v>
      </c>
    </row>
    <row r="286" spans="1:11" x14ac:dyDescent="0.25">
      <c r="A286">
        <v>266</v>
      </c>
      <c r="B286">
        <f t="shared" ca="1" si="30"/>
        <v>0.10632435341066149</v>
      </c>
      <c r="C286">
        <f t="shared" ca="1" si="31"/>
        <v>0.20072063837898915</v>
      </c>
      <c r="D286">
        <f t="shared" ca="1" si="32"/>
        <v>-0.93030293326920888</v>
      </c>
      <c r="E286">
        <f t="shared" ca="1" si="33"/>
        <v>1</v>
      </c>
      <c r="F286">
        <f t="shared" ca="1" si="34"/>
        <v>-0.93030293326920888</v>
      </c>
      <c r="G286" t="e">
        <f t="shared" ca="1" si="35"/>
        <v>#N/A</v>
      </c>
      <c r="H286" t="e">
        <f>NA()</f>
        <v>#N/A</v>
      </c>
      <c r="I286" t="e">
        <f>NA()</f>
        <v>#N/A</v>
      </c>
      <c r="J286" t="e">
        <f>NA()</f>
        <v>#N/A</v>
      </c>
      <c r="K286" t="e">
        <f>NA()</f>
        <v>#N/A</v>
      </c>
    </row>
    <row r="287" spans="1:11" x14ac:dyDescent="0.25">
      <c r="A287">
        <v>267</v>
      </c>
      <c r="B287">
        <f t="shared" ca="1" si="30"/>
        <v>0.20734267898081371</v>
      </c>
      <c r="C287">
        <f t="shared" ca="1" si="31"/>
        <v>0.16511906721308889</v>
      </c>
      <c r="D287">
        <f t="shared" ca="1" si="32"/>
        <v>0.98325345810975429</v>
      </c>
      <c r="E287">
        <f t="shared" ca="1" si="33"/>
        <v>1</v>
      </c>
      <c r="F287">
        <f t="shared" ca="1" si="34"/>
        <v>0.98325345810975429</v>
      </c>
      <c r="G287" t="e">
        <f t="shared" ca="1" si="35"/>
        <v>#N/A</v>
      </c>
      <c r="H287" t="e">
        <f>NA()</f>
        <v>#N/A</v>
      </c>
      <c r="I287" t="e">
        <f>NA()</f>
        <v>#N/A</v>
      </c>
      <c r="J287" t="e">
        <f>NA()</f>
        <v>#N/A</v>
      </c>
      <c r="K287" t="e">
        <f>NA()</f>
        <v>#N/A</v>
      </c>
    </row>
    <row r="288" spans="1:11" x14ac:dyDescent="0.25">
      <c r="A288">
        <v>268</v>
      </c>
      <c r="B288">
        <f t="shared" ca="1" si="30"/>
        <v>0.54686045112383563</v>
      </c>
      <c r="C288">
        <f t="shared" ca="1" si="31"/>
        <v>0.56780558761981503</v>
      </c>
      <c r="D288">
        <f t="shared" ca="1" si="32"/>
        <v>4.2294481921424515E-2</v>
      </c>
      <c r="E288">
        <f t="shared" ca="1" si="33"/>
        <v>1</v>
      </c>
      <c r="F288">
        <f t="shared" ca="1" si="34"/>
        <v>4.2294481921424515E-2</v>
      </c>
      <c r="G288" t="e">
        <f t="shared" ca="1" si="35"/>
        <v>#N/A</v>
      </c>
      <c r="H288" t="e">
        <f>NA()</f>
        <v>#N/A</v>
      </c>
      <c r="I288" t="e">
        <f>NA()</f>
        <v>#N/A</v>
      </c>
      <c r="J288" t="e">
        <f>NA()</f>
        <v>#N/A</v>
      </c>
      <c r="K288" t="e">
        <f>NA()</f>
        <v>#N/A</v>
      </c>
    </row>
    <row r="289" spans="1:11" x14ac:dyDescent="0.25">
      <c r="A289">
        <v>269</v>
      </c>
      <c r="B289">
        <f t="shared" ca="1" si="30"/>
        <v>0.49332237867904227</v>
      </c>
      <c r="C289">
        <f t="shared" ca="1" si="31"/>
        <v>0.29575920359097557</v>
      </c>
      <c r="D289">
        <f t="shared" ca="1" si="32"/>
        <v>0.97248934243001783</v>
      </c>
      <c r="E289">
        <f t="shared" ca="1" si="33"/>
        <v>1</v>
      </c>
      <c r="F289">
        <f t="shared" ca="1" si="34"/>
        <v>0.97248934243001783</v>
      </c>
      <c r="G289" t="e">
        <f t="shared" ca="1" si="35"/>
        <v>#N/A</v>
      </c>
      <c r="H289" t="e">
        <f>NA()</f>
        <v>#N/A</v>
      </c>
      <c r="I289" t="e">
        <f>NA()</f>
        <v>#N/A</v>
      </c>
      <c r="J289" t="e">
        <f>NA()</f>
        <v>#N/A</v>
      </c>
      <c r="K289" t="e">
        <f>NA()</f>
        <v>#N/A</v>
      </c>
    </row>
    <row r="290" spans="1:11" x14ac:dyDescent="0.25">
      <c r="A290">
        <v>270</v>
      </c>
      <c r="B290">
        <f t="shared" ca="1" si="30"/>
        <v>0.46433317787897754</v>
      </c>
      <c r="C290">
        <f t="shared" ca="1" si="31"/>
        <v>-4.0865190763035146</v>
      </c>
      <c r="D290">
        <f t="shared" ca="1" si="32"/>
        <v>2.027963536752543</v>
      </c>
      <c r="E290">
        <f t="shared" ca="1" si="33"/>
        <v>1</v>
      </c>
      <c r="F290">
        <f t="shared" ca="1" si="34"/>
        <v>2.027963536752543</v>
      </c>
      <c r="G290" t="e">
        <f t="shared" ca="1" si="35"/>
        <v>#N/A</v>
      </c>
      <c r="H290" t="e">
        <f>NA()</f>
        <v>#N/A</v>
      </c>
      <c r="I290" t="e">
        <f>NA()</f>
        <v>#N/A</v>
      </c>
      <c r="J290" t="e">
        <f>NA()</f>
        <v>#N/A</v>
      </c>
      <c r="K290" t="e">
        <f>NA()</f>
        <v>#N/A</v>
      </c>
    </row>
    <row r="291" spans="1:11" x14ac:dyDescent="0.25">
      <c r="A291">
        <v>271</v>
      </c>
      <c r="B291">
        <f t="shared" ca="1" si="30"/>
        <v>0.12623984290680579</v>
      </c>
      <c r="C291">
        <f t="shared" ca="1" si="31"/>
        <v>0.62610708089233547</v>
      </c>
      <c r="D291">
        <f t="shared" ca="1" si="32"/>
        <v>-0.36011498841014444</v>
      </c>
      <c r="E291">
        <f t="shared" ca="1" si="33"/>
        <v>1</v>
      </c>
      <c r="F291">
        <f t="shared" ca="1" si="34"/>
        <v>-0.36011498841014444</v>
      </c>
      <c r="G291" t="e">
        <f t="shared" ca="1" si="35"/>
        <v>#N/A</v>
      </c>
      <c r="H291" t="e">
        <f>NA()</f>
        <v>#N/A</v>
      </c>
      <c r="I291" t="e">
        <f>NA()</f>
        <v>#N/A</v>
      </c>
      <c r="J291" t="e">
        <f>NA()</f>
        <v>#N/A</v>
      </c>
      <c r="K291" t="e">
        <f>NA()</f>
        <v>#N/A</v>
      </c>
    </row>
    <row r="292" spans="1:11" x14ac:dyDescent="0.25">
      <c r="A292">
        <v>272</v>
      </c>
      <c r="B292">
        <f t="shared" ca="1" si="30"/>
        <v>0.76083097996354843</v>
      </c>
      <c r="C292">
        <f t="shared" ca="1" si="31"/>
        <v>3.9197647860031193</v>
      </c>
      <c r="D292">
        <f t="shared" ca="1" si="32"/>
        <v>5.0677827481439097</v>
      </c>
      <c r="E292">
        <f t="shared" ca="1" si="33"/>
        <v>2</v>
      </c>
      <c r="F292" t="e">
        <f t="shared" ca="1" si="34"/>
        <v>#N/A</v>
      </c>
      <c r="G292">
        <f t="shared" ca="1" si="35"/>
        <v>5.0677827481439097</v>
      </c>
      <c r="H292" t="e">
        <f>NA()</f>
        <v>#N/A</v>
      </c>
      <c r="I292" t="e">
        <f>NA()</f>
        <v>#N/A</v>
      </c>
      <c r="J292" t="e">
        <f>NA()</f>
        <v>#N/A</v>
      </c>
      <c r="K292" t="e">
        <f>NA()</f>
        <v>#N/A</v>
      </c>
    </row>
    <row r="293" spans="1:11" x14ac:dyDescent="0.25">
      <c r="A293">
        <v>273</v>
      </c>
      <c r="B293">
        <f t="shared" ca="1" si="30"/>
        <v>0.62950405872334025</v>
      </c>
      <c r="C293">
        <f t="shared" ca="1" si="31"/>
        <v>6.1771517424476832</v>
      </c>
      <c r="D293">
        <f t="shared" ca="1" si="32"/>
        <v>6.4074433190179194</v>
      </c>
      <c r="E293">
        <f t="shared" ca="1" si="33"/>
        <v>2</v>
      </c>
      <c r="F293" t="e">
        <f t="shared" ca="1" si="34"/>
        <v>#N/A</v>
      </c>
      <c r="G293">
        <f t="shared" ca="1" si="35"/>
        <v>6.4074433190179194</v>
      </c>
      <c r="H293" t="e">
        <f>NA()</f>
        <v>#N/A</v>
      </c>
      <c r="I293" t="e">
        <f>NA()</f>
        <v>#N/A</v>
      </c>
      <c r="J293" t="e">
        <f>NA()</f>
        <v>#N/A</v>
      </c>
      <c r="K293" t="e">
        <f>NA()</f>
        <v>#N/A</v>
      </c>
    </row>
    <row r="294" spans="1:11" x14ac:dyDescent="0.25">
      <c r="A294">
        <v>274</v>
      </c>
      <c r="B294">
        <f t="shared" ca="1" si="30"/>
        <v>0.35602099520464725</v>
      </c>
      <c r="C294">
        <f t="shared" ca="1" si="31"/>
        <v>1.9662948141294796</v>
      </c>
      <c r="D294">
        <f t="shared" ca="1" si="32"/>
        <v>-0.94009456157037596</v>
      </c>
      <c r="E294">
        <f t="shared" ca="1" si="33"/>
        <v>1</v>
      </c>
      <c r="F294">
        <f t="shared" ca="1" si="34"/>
        <v>-0.94009456157037596</v>
      </c>
      <c r="G294" t="e">
        <f t="shared" ca="1" si="35"/>
        <v>#N/A</v>
      </c>
      <c r="H294" t="e">
        <f>NA()</f>
        <v>#N/A</v>
      </c>
      <c r="I294" t="e">
        <f>NA()</f>
        <v>#N/A</v>
      </c>
      <c r="J294" t="e">
        <f>NA()</f>
        <v>#N/A</v>
      </c>
      <c r="K294" t="e">
        <f>NA()</f>
        <v>#N/A</v>
      </c>
    </row>
    <row r="295" spans="1:11" x14ac:dyDescent="0.25">
      <c r="A295">
        <v>275</v>
      </c>
      <c r="B295">
        <f t="shared" ca="1" si="30"/>
        <v>0.10363552933573361</v>
      </c>
      <c r="C295">
        <f t="shared" ca="1" si="31"/>
        <v>-4.1865763696262374E-2</v>
      </c>
      <c r="D295">
        <f t="shared" ca="1" si="32"/>
        <v>-0.31704794915912388</v>
      </c>
      <c r="E295">
        <f t="shared" ca="1" si="33"/>
        <v>1</v>
      </c>
      <c r="F295">
        <f t="shared" ca="1" si="34"/>
        <v>-0.31704794915912388</v>
      </c>
      <c r="G295" t="e">
        <f t="shared" ca="1" si="35"/>
        <v>#N/A</v>
      </c>
      <c r="H295" t="e">
        <f>NA()</f>
        <v>#N/A</v>
      </c>
      <c r="I295" t="e">
        <f>NA()</f>
        <v>#N/A</v>
      </c>
      <c r="J295" t="e">
        <f>NA()</f>
        <v>#N/A</v>
      </c>
      <c r="K295" t="e">
        <f>NA()</f>
        <v>#N/A</v>
      </c>
    </row>
    <row r="296" spans="1:11" x14ac:dyDescent="0.25">
      <c r="A296">
        <v>276</v>
      </c>
      <c r="B296">
        <f t="shared" ca="1" si="30"/>
        <v>0.6559811450030999</v>
      </c>
      <c r="C296">
        <f t="shared" ca="1" si="31"/>
        <v>2.8487322985513321</v>
      </c>
      <c r="D296">
        <f t="shared" ca="1" si="32"/>
        <v>2.1159045742260911</v>
      </c>
      <c r="E296">
        <f t="shared" ca="1" si="33"/>
        <v>2</v>
      </c>
      <c r="F296" t="e">
        <f t="shared" ca="1" si="34"/>
        <v>#N/A</v>
      </c>
      <c r="G296">
        <f t="shared" ca="1" si="35"/>
        <v>2.1159045742260911</v>
      </c>
      <c r="H296" t="e">
        <f>NA()</f>
        <v>#N/A</v>
      </c>
      <c r="I296" t="e">
        <f>NA()</f>
        <v>#N/A</v>
      </c>
      <c r="J296" t="e">
        <f>NA()</f>
        <v>#N/A</v>
      </c>
      <c r="K296" t="e">
        <f>NA()</f>
        <v>#N/A</v>
      </c>
    </row>
    <row r="297" spans="1:11" x14ac:dyDescent="0.25">
      <c r="A297">
        <v>277</v>
      </c>
      <c r="B297">
        <f t="shared" ca="1" si="30"/>
        <v>0.7575600531023664</v>
      </c>
      <c r="C297">
        <f t="shared" ca="1" si="31"/>
        <v>3.714549393985402</v>
      </c>
      <c r="D297">
        <f t="shared" ca="1" si="32"/>
        <v>2.684270026781137</v>
      </c>
      <c r="E297">
        <f t="shared" ca="1" si="33"/>
        <v>2</v>
      </c>
      <c r="F297" t="e">
        <f t="shared" ca="1" si="34"/>
        <v>#N/A</v>
      </c>
      <c r="G297">
        <f t="shared" ca="1" si="35"/>
        <v>2.684270026781137</v>
      </c>
      <c r="H297" t="e">
        <f>NA()</f>
        <v>#N/A</v>
      </c>
      <c r="I297" t="e">
        <f>NA()</f>
        <v>#N/A</v>
      </c>
      <c r="J297" t="e">
        <f>NA()</f>
        <v>#N/A</v>
      </c>
      <c r="K297" t="e">
        <f>NA()</f>
        <v>#N/A</v>
      </c>
    </row>
    <row r="298" spans="1:11" x14ac:dyDescent="0.25">
      <c r="A298">
        <v>278</v>
      </c>
      <c r="B298">
        <f t="shared" ca="1" si="30"/>
        <v>0.15463481398112111</v>
      </c>
      <c r="C298">
        <f t="shared" ca="1" si="31"/>
        <v>-4.4583196547013095</v>
      </c>
      <c r="D298">
        <f t="shared" ca="1" si="32"/>
        <v>0.48842392056974837</v>
      </c>
      <c r="E298">
        <f t="shared" ca="1" si="33"/>
        <v>1</v>
      </c>
      <c r="F298">
        <f t="shared" ca="1" si="34"/>
        <v>0.48842392056974837</v>
      </c>
      <c r="G298" t="e">
        <f t="shared" ca="1" si="35"/>
        <v>#N/A</v>
      </c>
      <c r="H298" t="e">
        <f>NA()</f>
        <v>#N/A</v>
      </c>
      <c r="I298" t="e">
        <f>NA()</f>
        <v>#N/A</v>
      </c>
      <c r="J298" t="e">
        <f>NA()</f>
        <v>#N/A</v>
      </c>
      <c r="K298" t="e">
        <f>NA()</f>
        <v>#N/A</v>
      </c>
    </row>
    <row r="299" spans="1:11" x14ac:dyDescent="0.25">
      <c r="A299">
        <v>279</v>
      </c>
      <c r="B299">
        <f t="shared" ca="1" si="30"/>
        <v>0.74810155952656321</v>
      </c>
      <c r="C299">
        <f t="shared" ca="1" si="31"/>
        <v>4.5099980458164044</v>
      </c>
      <c r="D299">
        <f t="shared" ca="1" si="32"/>
        <v>2.5712336451983013</v>
      </c>
      <c r="E299">
        <f t="shared" ca="1" si="33"/>
        <v>2</v>
      </c>
      <c r="F299" t="e">
        <f t="shared" ca="1" si="34"/>
        <v>#N/A</v>
      </c>
      <c r="G299">
        <f t="shared" ca="1" si="35"/>
        <v>2.5712336451983013</v>
      </c>
      <c r="H299" t="e">
        <f>NA()</f>
        <v>#N/A</v>
      </c>
      <c r="I299" t="e">
        <f>NA()</f>
        <v>#N/A</v>
      </c>
      <c r="J299" t="e">
        <f>NA()</f>
        <v>#N/A</v>
      </c>
      <c r="K299" t="e">
        <f>NA()</f>
        <v>#N/A</v>
      </c>
    </row>
    <row r="300" spans="1:11" x14ac:dyDescent="0.25">
      <c r="A300">
        <v>280</v>
      </c>
      <c r="B300">
        <f t="shared" ca="1" si="30"/>
        <v>7.9535492578757694E-2</v>
      </c>
      <c r="C300">
        <f t="shared" ca="1" si="31"/>
        <v>0.14197339601296494</v>
      </c>
      <c r="D300">
        <f t="shared" ca="1" si="32"/>
        <v>0.71669176978142002</v>
      </c>
      <c r="E300">
        <f t="shared" ca="1" si="33"/>
        <v>1</v>
      </c>
      <c r="F300">
        <f t="shared" ca="1" si="34"/>
        <v>0.71669176978142002</v>
      </c>
      <c r="G300" t="e">
        <f t="shared" ca="1" si="35"/>
        <v>#N/A</v>
      </c>
      <c r="H300" t="e">
        <f>NA()</f>
        <v>#N/A</v>
      </c>
      <c r="I300" t="e">
        <f>NA()</f>
        <v>#N/A</v>
      </c>
      <c r="J300" t="e">
        <f>NA()</f>
        <v>#N/A</v>
      </c>
      <c r="K300" t="e">
        <f>NA()</f>
        <v>#N/A</v>
      </c>
    </row>
    <row r="301" spans="1:11" x14ac:dyDescent="0.25">
      <c r="A301">
        <v>281</v>
      </c>
      <c r="B301">
        <f t="shared" ca="1" si="30"/>
        <v>0.20776339106399166</v>
      </c>
      <c r="C301">
        <f t="shared" ca="1" si="31"/>
        <v>1.5850095013623631</v>
      </c>
      <c r="D301">
        <f t="shared" ca="1" si="32"/>
        <v>0.72678171064561636</v>
      </c>
      <c r="E301">
        <f t="shared" ca="1" si="33"/>
        <v>1</v>
      </c>
      <c r="F301">
        <f t="shared" ca="1" si="34"/>
        <v>0.72678171064561636</v>
      </c>
      <c r="G301" t="e">
        <f t="shared" ca="1" si="35"/>
        <v>#N/A</v>
      </c>
      <c r="H301" t="e">
        <f>NA()</f>
        <v>#N/A</v>
      </c>
      <c r="I301" t="e">
        <f>NA()</f>
        <v>#N/A</v>
      </c>
      <c r="J301" t="e">
        <f>NA()</f>
        <v>#N/A</v>
      </c>
      <c r="K301" t="e">
        <f>NA()</f>
        <v>#N/A</v>
      </c>
    </row>
    <row r="302" spans="1:11" x14ac:dyDescent="0.25">
      <c r="A302">
        <v>282</v>
      </c>
      <c r="B302">
        <f t="shared" ca="1" si="30"/>
        <v>0.39325368883533884</v>
      </c>
      <c r="C302">
        <f t="shared" ca="1" si="31"/>
        <v>0.12955206210796763</v>
      </c>
      <c r="D302">
        <f t="shared" ca="1" si="32"/>
        <v>-0.71455624689379216</v>
      </c>
      <c r="E302">
        <f t="shared" ca="1" si="33"/>
        <v>1</v>
      </c>
      <c r="F302">
        <f t="shared" ca="1" si="34"/>
        <v>-0.71455624689379216</v>
      </c>
      <c r="G302" t="e">
        <f t="shared" ca="1" si="35"/>
        <v>#N/A</v>
      </c>
      <c r="H302" t="e">
        <f>NA()</f>
        <v>#N/A</v>
      </c>
      <c r="I302" t="e">
        <f>NA()</f>
        <v>#N/A</v>
      </c>
      <c r="J302" t="e">
        <f>NA()</f>
        <v>#N/A</v>
      </c>
      <c r="K302" t="e">
        <f>NA()</f>
        <v>#N/A</v>
      </c>
    </row>
    <row r="303" spans="1:11" x14ac:dyDescent="0.25">
      <c r="A303">
        <v>283</v>
      </c>
      <c r="B303">
        <f t="shared" ca="1" si="30"/>
        <v>0.38660936176555527</v>
      </c>
      <c r="C303">
        <f t="shared" ca="1" si="31"/>
        <v>1.3468381718972386</v>
      </c>
      <c r="D303">
        <f t="shared" ca="1" si="32"/>
        <v>-1.036534709299106</v>
      </c>
      <c r="E303">
        <f t="shared" ca="1" si="33"/>
        <v>1</v>
      </c>
      <c r="F303">
        <f t="shared" ca="1" si="34"/>
        <v>-1.036534709299106</v>
      </c>
      <c r="G303" t="e">
        <f t="shared" ca="1" si="35"/>
        <v>#N/A</v>
      </c>
      <c r="H303" t="e">
        <f>NA()</f>
        <v>#N/A</v>
      </c>
      <c r="I303" t="e">
        <f>NA()</f>
        <v>#N/A</v>
      </c>
      <c r="J303" t="e">
        <f>NA()</f>
        <v>#N/A</v>
      </c>
      <c r="K303" t="e">
        <f>NA()</f>
        <v>#N/A</v>
      </c>
    </row>
    <row r="304" spans="1:11" x14ac:dyDescent="0.25">
      <c r="A304">
        <v>284</v>
      </c>
      <c r="B304">
        <f t="shared" ca="1" si="30"/>
        <v>0.4499430937346135</v>
      </c>
      <c r="C304">
        <f t="shared" ca="1" si="31"/>
        <v>0.98074853900273284</v>
      </c>
      <c r="D304">
        <f t="shared" ca="1" si="32"/>
        <v>0.7656107443339758</v>
      </c>
      <c r="E304">
        <f t="shared" ca="1" si="33"/>
        <v>1</v>
      </c>
      <c r="F304">
        <f t="shared" ca="1" si="34"/>
        <v>0.7656107443339758</v>
      </c>
      <c r="G304" t="e">
        <f t="shared" ca="1" si="35"/>
        <v>#N/A</v>
      </c>
      <c r="H304" t="e">
        <f>NA()</f>
        <v>#N/A</v>
      </c>
      <c r="I304" t="e">
        <f>NA()</f>
        <v>#N/A</v>
      </c>
      <c r="J304" t="e">
        <f>NA()</f>
        <v>#N/A</v>
      </c>
      <c r="K304" t="e">
        <f>NA()</f>
        <v>#N/A</v>
      </c>
    </row>
    <row r="305" spans="1:11" x14ac:dyDescent="0.25">
      <c r="A305">
        <v>285</v>
      </c>
      <c r="B305">
        <f t="shared" ca="1" si="30"/>
        <v>0.55906267316512626</v>
      </c>
      <c r="C305">
        <f t="shared" ca="1" si="31"/>
        <v>0.87935340367172454</v>
      </c>
      <c r="D305">
        <f t="shared" ca="1" si="32"/>
        <v>-0.74336371546298752</v>
      </c>
      <c r="E305">
        <f t="shared" ca="1" si="33"/>
        <v>1</v>
      </c>
      <c r="F305">
        <f t="shared" ca="1" si="34"/>
        <v>-0.74336371546298752</v>
      </c>
      <c r="G305" t="e">
        <f t="shared" ca="1" si="35"/>
        <v>#N/A</v>
      </c>
      <c r="H305" t="e">
        <f>NA()</f>
        <v>#N/A</v>
      </c>
      <c r="I305" t="e">
        <f>NA()</f>
        <v>#N/A</v>
      </c>
      <c r="J305" t="e">
        <f>NA()</f>
        <v>#N/A</v>
      </c>
      <c r="K305" t="e">
        <f>NA()</f>
        <v>#N/A</v>
      </c>
    </row>
    <row r="306" spans="1:11" x14ac:dyDescent="0.25">
      <c r="A306">
        <v>286</v>
      </c>
      <c r="B306">
        <f t="shared" ca="1" si="30"/>
        <v>0.55637869953934094</v>
      </c>
      <c r="C306">
        <f t="shared" ca="1" si="31"/>
        <v>-0.99466471214221697</v>
      </c>
      <c r="D306">
        <f t="shared" ca="1" si="32"/>
        <v>-0.55240845107532288</v>
      </c>
      <c r="E306">
        <f t="shared" ca="1" si="33"/>
        <v>1</v>
      </c>
      <c r="F306">
        <f t="shared" ca="1" si="34"/>
        <v>-0.55240845107532288</v>
      </c>
      <c r="G306" t="e">
        <f t="shared" ca="1" si="35"/>
        <v>#N/A</v>
      </c>
      <c r="H306" t="e">
        <f>NA()</f>
        <v>#N/A</v>
      </c>
      <c r="I306" t="e">
        <f>NA()</f>
        <v>#N/A</v>
      </c>
      <c r="J306" t="e">
        <f>NA()</f>
        <v>#N/A</v>
      </c>
      <c r="K306" t="e">
        <f>NA()</f>
        <v>#N/A</v>
      </c>
    </row>
    <row r="307" spans="1:11" x14ac:dyDescent="0.25">
      <c r="A307">
        <v>287</v>
      </c>
      <c r="B307">
        <f t="shared" ca="1" si="30"/>
        <v>0.56630064410017766</v>
      </c>
      <c r="C307">
        <f t="shared" ca="1" si="31"/>
        <v>7.2229488726201371E-2</v>
      </c>
      <c r="D307">
        <f t="shared" ca="1" si="32"/>
        <v>-0.14944033096556522</v>
      </c>
      <c r="E307">
        <f t="shared" ca="1" si="33"/>
        <v>1</v>
      </c>
      <c r="F307">
        <f t="shared" ca="1" si="34"/>
        <v>-0.14944033096556522</v>
      </c>
      <c r="G307" t="e">
        <f t="shared" ca="1" si="35"/>
        <v>#N/A</v>
      </c>
      <c r="H307" t="e">
        <f>NA()</f>
        <v>#N/A</v>
      </c>
      <c r="I307" t="e">
        <f>NA()</f>
        <v>#N/A</v>
      </c>
      <c r="J307" t="e">
        <f>NA()</f>
        <v>#N/A</v>
      </c>
      <c r="K307" t="e">
        <f>NA()</f>
        <v>#N/A</v>
      </c>
    </row>
    <row r="308" spans="1:11" x14ac:dyDescent="0.25">
      <c r="A308">
        <v>288</v>
      </c>
      <c r="B308">
        <f t="shared" ca="1" si="30"/>
        <v>0.27052512915900828</v>
      </c>
      <c r="C308">
        <f t="shared" ca="1" si="31"/>
        <v>-0.67301561661501041</v>
      </c>
      <c r="D308">
        <f t="shared" ca="1" si="32"/>
        <v>-2.7284028900152468E-2</v>
      </c>
      <c r="E308">
        <f t="shared" ca="1" si="33"/>
        <v>1</v>
      </c>
      <c r="F308">
        <f t="shared" ca="1" si="34"/>
        <v>-2.7284028900152468E-2</v>
      </c>
      <c r="G308" t="e">
        <f t="shared" ca="1" si="35"/>
        <v>#N/A</v>
      </c>
      <c r="H308" t="e">
        <f>NA()</f>
        <v>#N/A</v>
      </c>
      <c r="I308" t="e">
        <f>NA()</f>
        <v>#N/A</v>
      </c>
      <c r="J308" t="e">
        <f>NA()</f>
        <v>#N/A</v>
      </c>
      <c r="K308" t="e">
        <f>NA()</f>
        <v>#N/A</v>
      </c>
    </row>
    <row r="309" spans="1:11" x14ac:dyDescent="0.25">
      <c r="A309">
        <v>289</v>
      </c>
      <c r="B309">
        <f t="shared" ca="1" si="30"/>
        <v>0.59898941913613413</v>
      </c>
      <c r="C309">
        <f t="shared" ca="1" si="31"/>
        <v>-0.88820528715102087</v>
      </c>
      <c r="D309">
        <f t="shared" ca="1" si="32"/>
        <v>-3.5581822084548742E-2</v>
      </c>
      <c r="E309">
        <f t="shared" ca="1" si="33"/>
        <v>1</v>
      </c>
      <c r="F309">
        <f t="shared" ca="1" si="34"/>
        <v>-3.5581822084548742E-2</v>
      </c>
      <c r="G309" t="e">
        <f t="shared" ca="1" si="35"/>
        <v>#N/A</v>
      </c>
      <c r="H309" t="e">
        <f>NA()</f>
        <v>#N/A</v>
      </c>
      <c r="I309" t="e">
        <f>NA()</f>
        <v>#N/A</v>
      </c>
      <c r="J309" t="e">
        <f>NA()</f>
        <v>#N/A</v>
      </c>
      <c r="K309" t="e">
        <f>NA()</f>
        <v>#N/A</v>
      </c>
    </row>
    <row r="310" spans="1:11" x14ac:dyDescent="0.25">
      <c r="A310">
        <v>290</v>
      </c>
      <c r="B310">
        <f t="shared" ca="1" si="30"/>
        <v>0.34376180283940672</v>
      </c>
      <c r="C310">
        <f t="shared" ca="1" si="31"/>
        <v>0.61707043394869954</v>
      </c>
      <c r="D310">
        <f t="shared" ca="1" si="32"/>
        <v>0.36601636902833834</v>
      </c>
      <c r="E310">
        <f t="shared" ca="1" si="33"/>
        <v>1</v>
      </c>
      <c r="F310">
        <f t="shared" ca="1" si="34"/>
        <v>0.36601636902833834</v>
      </c>
      <c r="G310" t="e">
        <f t="shared" ca="1" si="35"/>
        <v>#N/A</v>
      </c>
      <c r="H310" t="e">
        <f>NA()</f>
        <v>#N/A</v>
      </c>
      <c r="I310" t="e">
        <f>NA()</f>
        <v>#N/A</v>
      </c>
      <c r="J310" t="e">
        <f>NA()</f>
        <v>#N/A</v>
      </c>
      <c r="K310" t="e">
        <f>NA()</f>
        <v>#N/A</v>
      </c>
    </row>
    <row r="311" spans="1:11" x14ac:dyDescent="0.25">
      <c r="A311">
        <v>291</v>
      </c>
      <c r="B311">
        <f t="shared" ca="1" si="30"/>
        <v>0.77941019067371509</v>
      </c>
      <c r="C311">
        <f t="shared" ca="1" si="31"/>
        <v>4.1151210647659759</v>
      </c>
      <c r="D311">
        <f t="shared" ca="1" si="32"/>
        <v>2.0282783498363215</v>
      </c>
      <c r="E311">
        <f t="shared" ca="1" si="33"/>
        <v>2</v>
      </c>
      <c r="F311" t="e">
        <f t="shared" ca="1" si="34"/>
        <v>#N/A</v>
      </c>
      <c r="G311">
        <f t="shared" ca="1" si="35"/>
        <v>2.0282783498363215</v>
      </c>
      <c r="H311" t="e">
        <f>NA()</f>
        <v>#N/A</v>
      </c>
      <c r="I311" t="e">
        <f>NA()</f>
        <v>#N/A</v>
      </c>
      <c r="J311" t="e">
        <f>NA()</f>
        <v>#N/A</v>
      </c>
      <c r="K311" t="e">
        <f>NA()</f>
        <v>#N/A</v>
      </c>
    </row>
    <row r="312" spans="1:11" x14ac:dyDescent="0.25">
      <c r="A312">
        <v>292</v>
      </c>
      <c r="B312">
        <f t="shared" ca="1" si="30"/>
        <v>0.81050647400138565</v>
      </c>
      <c r="C312">
        <f t="shared" ca="1" si="31"/>
        <v>4.5148329184851672</v>
      </c>
      <c r="D312">
        <f t="shared" ca="1" si="32"/>
        <v>3.0805582657080723</v>
      </c>
      <c r="E312">
        <f t="shared" ca="1" si="33"/>
        <v>2</v>
      </c>
      <c r="F312" t="e">
        <f t="shared" ca="1" si="34"/>
        <v>#N/A</v>
      </c>
      <c r="G312">
        <f t="shared" ca="1" si="35"/>
        <v>3.0805582657080723</v>
      </c>
      <c r="H312" t="e">
        <f>NA()</f>
        <v>#N/A</v>
      </c>
      <c r="I312" t="e">
        <f>NA()</f>
        <v>#N/A</v>
      </c>
      <c r="J312" t="e">
        <f>NA()</f>
        <v>#N/A</v>
      </c>
      <c r="K312" t="e">
        <f>NA()</f>
        <v>#N/A</v>
      </c>
    </row>
    <row r="313" spans="1:11" x14ac:dyDescent="0.25">
      <c r="A313">
        <v>293</v>
      </c>
      <c r="B313">
        <f t="shared" ca="1" si="30"/>
        <v>0.80905673854553306</v>
      </c>
      <c r="C313">
        <f t="shared" ca="1" si="31"/>
        <v>4.7556817865377186</v>
      </c>
      <c r="D313">
        <f t="shared" ca="1" si="32"/>
        <v>4.4246084282189999</v>
      </c>
      <c r="E313">
        <f t="shared" ca="1" si="33"/>
        <v>2</v>
      </c>
      <c r="F313" t="e">
        <f t="shared" ca="1" si="34"/>
        <v>#N/A</v>
      </c>
      <c r="G313">
        <f t="shared" ca="1" si="35"/>
        <v>4.4246084282189999</v>
      </c>
      <c r="H313" t="e">
        <f>NA()</f>
        <v>#N/A</v>
      </c>
      <c r="I313" t="e">
        <f>NA()</f>
        <v>#N/A</v>
      </c>
      <c r="J313" t="e">
        <f>NA()</f>
        <v>#N/A</v>
      </c>
      <c r="K313" t="e">
        <f>NA()</f>
        <v>#N/A</v>
      </c>
    </row>
    <row r="314" spans="1:11" x14ac:dyDescent="0.25">
      <c r="A314">
        <v>294</v>
      </c>
      <c r="B314">
        <f t="shared" ca="1" si="30"/>
        <v>0.6832816832705122</v>
      </c>
      <c r="C314">
        <f t="shared" ca="1" si="31"/>
        <v>3.5111965572497081</v>
      </c>
      <c r="D314">
        <f t="shared" ca="1" si="32"/>
        <v>3.6276580884714211</v>
      </c>
      <c r="E314">
        <f t="shared" ca="1" si="33"/>
        <v>2</v>
      </c>
      <c r="F314" t="e">
        <f t="shared" ca="1" si="34"/>
        <v>#N/A</v>
      </c>
      <c r="G314">
        <f t="shared" ca="1" si="35"/>
        <v>3.6276580884714211</v>
      </c>
      <c r="H314" t="e">
        <f>NA()</f>
        <v>#N/A</v>
      </c>
      <c r="I314" t="e">
        <f>NA()</f>
        <v>#N/A</v>
      </c>
      <c r="J314" t="e">
        <f>NA()</f>
        <v>#N/A</v>
      </c>
      <c r="K314" t="e">
        <f>NA()</f>
        <v>#N/A</v>
      </c>
    </row>
    <row r="315" spans="1:11" x14ac:dyDescent="0.25">
      <c r="A315">
        <v>295</v>
      </c>
      <c r="B315">
        <f t="shared" ca="1" si="30"/>
        <v>0.58124026510723337</v>
      </c>
      <c r="C315">
        <f t="shared" ca="1" si="31"/>
        <v>-0.80244018513936421</v>
      </c>
      <c r="D315">
        <f t="shared" ca="1" si="32"/>
        <v>-0.89302925718139137</v>
      </c>
      <c r="E315">
        <f t="shared" ca="1" si="33"/>
        <v>1</v>
      </c>
      <c r="F315">
        <f t="shared" ca="1" si="34"/>
        <v>-0.89302925718139137</v>
      </c>
      <c r="G315" t="e">
        <f t="shared" ca="1" si="35"/>
        <v>#N/A</v>
      </c>
      <c r="H315" t="e">
        <f>NA()</f>
        <v>#N/A</v>
      </c>
      <c r="I315" t="e">
        <f>NA()</f>
        <v>#N/A</v>
      </c>
      <c r="J315" t="e">
        <f>NA()</f>
        <v>#N/A</v>
      </c>
      <c r="K315" t="e">
        <f>NA()</f>
        <v>#N/A</v>
      </c>
    </row>
    <row r="316" spans="1:11" x14ac:dyDescent="0.25">
      <c r="A316">
        <v>296</v>
      </c>
      <c r="B316">
        <f t="shared" ca="1" si="30"/>
        <v>0.95552852586989523</v>
      </c>
      <c r="C316">
        <f t="shared" ca="1" si="31"/>
        <v>5.0893899042093977</v>
      </c>
      <c r="D316">
        <f t="shared" ca="1" si="32"/>
        <v>5.3848441332108745</v>
      </c>
      <c r="E316">
        <f t="shared" ca="1" si="33"/>
        <v>2</v>
      </c>
      <c r="F316" t="e">
        <f t="shared" ca="1" si="34"/>
        <v>#N/A</v>
      </c>
      <c r="G316">
        <f t="shared" ca="1" si="35"/>
        <v>5.3848441332108745</v>
      </c>
      <c r="H316" t="e">
        <f>NA()</f>
        <v>#N/A</v>
      </c>
      <c r="I316" t="e">
        <f>NA()</f>
        <v>#N/A</v>
      </c>
      <c r="J316" t="e">
        <f>NA()</f>
        <v>#N/A</v>
      </c>
      <c r="K316" t="e">
        <f>NA()</f>
        <v>#N/A</v>
      </c>
    </row>
    <row r="317" spans="1:11" x14ac:dyDescent="0.25">
      <c r="A317">
        <v>297</v>
      </c>
      <c r="B317">
        <f t="shared" ca="1" si="30"/>
        <v>0.38375791859512609</v>
      </c>
      <c r="C317">
        <f t="shared" ca="1" si="31"/>
        <v>3.6872643588042484</v>
      </c>
      <c r="D317">
        <f t="shared" ca="1" si="32"/>
        <v>-2.3633108482580365</v>
      </c>
      <c r="E317">
        <f t="shared" ca="1" si="33"/>
        <v>1</v>
      </c>
      <c r="F317">
        <f t="shared" ca="1" si="34"/>
        <v>-2.3633108482580365</v>
      </c>
      <c r="G317" t="e">
        <f t="shared" ca="1" si="35"/>
        <v>#N/A</v>
      </c>
      <c r="H317" t="e">
        <f>NA()</f>
        <v>#N/A</v>
      </c>
      <c r="I317" t="e">
        <f>NA()</f>
        <v>#N/A</v>
      </c>
      <c r="J317" t="e">
        <f>NA()</f>
        <v>#N/A</v>
      </c>
      <c r="K317" t="e">
        <f>NA()</f>
        <v>#N/A</v>
      </c>
    </row>
    <row r="318" spans="1:11" x14ac:dyDescent="0.25">
      <c r="A318">
        <v>298</v>
      </c>
      <c r="B318">
        <f t="shared" ca="1" si="30"/>
        <v>0.65940191468190068</v>
      </c>
      <c r="C318">
        <f t="shared" ca="1" si="31"/>
        <v>2.8744647716637548</v>
      </c>
      <c r="D318">
        <f t="shared" ca="1" si="32"/>
        <v>2.7812783278264406</v>
      </c>
      <c r="E318">
        <f t="shared" ca="1" si="33"/>
        <v>2</v>
      </c>
      <c r="F318" t="e">
        <f t="shared" ca="1" si="34"/>
        <v>#N/A</v>
      </c>
      <c r="G318">
        <f t="shared" ca="1" si="35"/>
        <v>2.7812783278264406</v>
      </c>
      <c r="H318" t="e">
        <f>NA()</f>
        <v>#N/A</v>
      </c>
      <c r="I318" t="e">
        <f>NA()</f>
        <v>#N/A</v>
      </c>
      <c r="J318" t="e">
        <f>NA()</f>
        <v>#N/A</v>
      </c>
      <c r="K318" t="e">
        <f>NA()</f>
        <v>#N/A</v>
      </c>
    </row>
    <row r="319" spans="1:11" x14ac:dyDescent="0.25">
      <c r="A319">
        <v>299</v>
      </c>
      <c r="B319">
        <f t="shared" ca="1" si="30"/>
        <v>0.80791865485915315</v>
      </c>
      <c r="C319">
        <f t="shared" ca="1" si="31"/>
        <v>2.6981314604052349</v>
      </c>
      <c r="D319">
        <f t="shared" ca="1" si="32"/>
        <v>3.2621215656806242</v>
      </c>
      <c r="E319">
        <f t="shared" ca="1" si="33"/>
        <v>2</v>
      </c>
      <c r="F319" t="e">
        <f t="shared" ca="1" si="34"/>
        <v>#N/A</v>
      </c>
      <c r="G319">
        <f t="shared" ca="1" si="35"/>
        <v>3.2621215656806242</v>
      </c>
      <c r="H319" t="e">
        <f>NA()</f>
        <v>#N/A</v>
      </c>
      <c r="I319" t="e">
        <f>NA()</f>
        <v>#N/A</v>
      </c>
      <c r="J319" t="e">
        <f>NA()</f>
        <v>#N/A</v>
      </c>
      <c r="K319" t="e">
        <f>NA()</f>
        <v>#N/A</v>
      </c>
    </row>
    <row r="320" spans="1:11" x14ac:dyDescent="0.25">
      <c r="A320">
        <v>300</v>
      </c>
      <c r="B320">
        <f t="shared" ca="1" si="30"/>
        <v>0.32655379027097142</v>
      </c>
      <c r="C320">
        <f t="shared" ca="1" si="31"/>
        <v>1.2168058347753661</v>
      </c>
      <c r="D320">
        <f t="shared" ca="1" si="32"/>
        <v>0.11542846741146179</v>
      </c>
      <c r="E320">
        <f t="shared" ca="1" si="33"/>
        <v>1</v>
      </c>
      <c r="F320">
        <f t="shared" ca="1" si="34"/>
        <v>0.11542846741146179</v>
      </c>
      <c r="G320" t="e">
        <f t="shared" ca="1" si="35"/>
        <v>#N/A</v>
      </c>
      <c r="H320" t="e">
        <f>NA()</f>
        <v>#N/A</v>
      </c>
      <c r="I320" t="e">
        <f>NA()</f>
        <v>#N/A</v>
      </c>
      <c r="J320" t="e">
        <f>NA()</f>
        <v>#N/A</v>
      </c>
      <c r="K320" t="e">
        <f>NA()</f>
        <v>#N/A</v>
      </c>
    </row>
    <row r="321" spans="1:11" x14ac:dyDescent="0.25">
      <c r="A321" t="s">
        <v>50</v>
      </c>
      <c r="C321">
        <f t="shared" ref="C321:C352" si="36">N25+$D$4</f>
        <v>-3.4616367652045708</v>
      </c>
      <c r="D321">
        <f t="shared" ref="D321:D352" si="37">O25+$D$5</f>
        <v>0.86540921917866265</v>
      </c>
      <c r="E321">
        <f t="shared" ref="E321:E352" si="38">P25+$D$5</f>
        <v>0.86540916342362273</v>
      </c>
      <c r="F321" t="e">
        <f>NA()</f>
        <v>#N/A</v>
      </c>
      <c r="G321" t="e">
        <f>NA()</f>
        <v>#N/A</v>
      </c>
      <c r="H321">
        <f t="shared" ref="H321:H352" si="39">D321</f>
        <v>0.86540921917866265</v>
      </c>
      <c r="I321">
        <f t="shared" ref="I321:I352" si="40">E321</f>
        <v>0.86540916342362273</v>
      </c>
      <c r="J321" t="e">
        <f>NA()</f>
        <v>#N/A</v>
      </c>
      <c r="K321" t="e">
        <f>NA()</f>
        <v>#N/A</v>
      </c>
    </row>
    <row r="322" spans="1:11" x14ac:dyDescent="0.25">
      <c r="A322">
        <v>1</v>
      </c>
      <c r="C322">
        <f t="shared" si="36"/>
        <v>-3.323171294596388</v>
      </c>
      <c r="D322">
        <f t="shared" si="37"/>
        <v>1.4718969243469529</v>
      </c>
      <c r="E322">
        <f t="shared" si="38"/>
        <v>0.18968872295124106</v>
      </c>
      <c r="F322" t="e">
        <f>NA()</f>
        <v>#N/A</v>
      </c>
      <c r="G322" t="e">
        <f>NA()</f>
        <v>#N/A</v>
      </c>
      <c r="H322">
        <f t="shared" si="39"/>
        <v>1.4718969243469529</v>
      </c>
      <c r="I322">
        <f t="shared" si="40"/>
        <v>0.18968872295124106</v>
      </c>
      <c r="J322" t="e">
        <f>NA()</f>
        <v>#N/A</v>
      </c>
      <c r="K322" t="e">
        <f>NA()</f>
        <v>#N/A</v>
      </c>
    </row>
    <row r="323" spans="1:11" x14ac:dyDescent="0.25">
      <c r="A323">
        <v>2</v>
      </c>
      <c r="C323">
        <f t="shared" si="36"/>
        <v>-3.1847058239882049</v>
      </c>
      <c r="D323">
        <f t="shared" si="37"/>
        <v>1.6935352666916987</v>
      </c>
      <c r="E323">
        <f t="shared" si="38"/>
        <v>-0.1011823546975964</v>
      </c>
      <c r="F323" t="e">
        <f>NA()</f>
        <v>#N/A</v>
      </c>
      <c r="G323" t="e">
        <f>NA()</f>
        <v>#N/A</v>
      </c>
      <c r="H323">
        <f t="shared" si="39"/>
        <v>1.6935352666916987</v>
      </c>
      <c r="I323">
        <f t="shared" si="40"/>
        <v>-0.1011823546975964</v>
      </c>
      <c r="J323" t="e">
        <f>NA()</f>
        <v>#N/A</v>
      </c>
      <c r="K323" t="e">
        <f>NA()</f>
        <v>#N/A</v>
      </c>
    </row>
    <row r="324" spans="1:11" x14ac:dyDescent="0.25">
      <c r="A324">
        <v>3</v>
      </c>
      <c r="C324">
        <f t="shared" si="36"/>
        <v>-3.0462403533800222</v>
      </c>
      <c r="D324">
        <f t="shared" si="37"/>
        <v>1.8490871462148848</v>
      </c>
      <c r="E324">
        <f t="shared" si="38"/>
        <v>-0.3259669695248737</v>
      </c>
      <c r="F324" t="e">
        <f>NA()</f>
        <v>#N/A</v>
      </c>
      <c r="G324" t="e">
        <f>NA()</f>
        <v>#N/A</v>
      </c>
      <c r="H324">
        <f t="shared" si="39"/>
        <v>1.8490871462148848</v>
      </c>
      <c r="I324">
        <f t="shared" si="40"/>
        <v>-0.3259669695248737</v>
      </c>
      <c r="J324" t="e">
        <f>NA()</f>
        <v>#N/A</v>
      </c>
      <c r="K324" t="e">
        <f>NA()</f>
        <v>#N/A</v>
      </c>
    </row>
    <row r="325" spans="1:11" x14ac:dyDescent="0.25">
      <c r="A325">
        <v>4</v>
      </c>
      <c r="C325">
        <f t="shared" si="36"/>
        <v>-2.9077748827718395</v>
      </c>
      <c r="D325">
        <f t="shared" si="37"/>
        <v>1.9692807391122837</v>
      </c>
      <c r="E325">
        <f t="shared" si="38"/>
        <v>-0.515393297726364</v>
      </c>
      <c r="F325" t="e">
        <f>NA()</f>
        <v>#N/A</v>
      </c>
      <c r="G325" t="e">
        <f>NA()</f>
        <v>#N/A</v>
      </c>
      <c r="H325">
        <f t="shared" si="39"/>
        <v>1.9692807391122837</v>
      </c>
      <c r="I325">
        <f t="shared" si="40"/>
        <v>-0.515393297726364</v>
      </c>
      <c r="J325" t="e">
        <f>NA()</f>
        <v>#N/A</v>
      </c>
      <c r="K325" t="e">
        <f>NA()</f>
        <v>#N/A</v>
      </c>
    </row>
    <row r="326" spans="1:11" x14ac:dyDescent="0.25">
      <c r="A326">
        <v>5</v>
      </c>
      <c r="C326">
        <f t="shared" si="36"/>
        <v>-2.7693094121636568</v>
      </c>
      <c r="D326">
        <f t="shared" si="37"/>
        <v>2.0661218545363211</v>
      </c>
      <c r="E326">
        <f t="shared" si="38"/>
        <v>-0.68146714845449274</v>
      </c>
      <c r="F326" t="e">
        <f>NA()</f>
        <v>#N/A</v>
      </c>
      <c r="G326" t="e">
        <f>NA()</f>
        <v>#N/A</v>
      </c>
      <c r="H326">
        <f t="shared" si="39"/>
        <v>2.0661218545363211</v>
      </c>
      <c r="I326">
        <f t="shared" si="40"/>
        <v>-0.68146714845449274</v>
      </c>
      <c r="J326" t="e">
        <f>NA()</f>
        <v>#N/A</v>
      </c>
      <c r="K326" t="e">
        <f>NA()</f>
        <v>#N/A</v>
      </c>
    </row>
    <row r="327" spans="1:11" x14ac:dyDescent="0.25">
      <c r="A327">
        <v>6</v>
      </c>
      <c r="C327">
        <f t="shared" si="36"/>
        <v>-2.6308439415554736</v>
      </c>
      <c r="D327">
        <f t="shared" si="37"/>
        <v>2.1458122240857223</v>
      </c>
      <c r="E327">
        <f t="shared" si="38"/>
        <v>-0.83039025330798533</v>
      </c>
      <c r="F327" t="e">
        <f>NA()</f>
        <v>#N/A</v>
      </c>
      <c r="G327" t="e">
        <f>NA()</f>
        <v>#N/A</v>
      </c>
      <c r="H327">
        <f t="shared" si="39"/>
        <v>2.1458122240857223</v>
      </c>
      <c r="I327">
        <f t="shared" si="40"/>
        <v>-0.83039025330798533</v>
      </c>
      <c r="J327" t="e">
        <f>NA()</f>
        <v>#N/A</v>
      </c>
      <c r="K327" t="e">
        <f>NA()</f>
        <v>#N/A</v>
      </c>
    </row>
    <row r="328" spans="1:11" x14ac:dyDescent="0.25">
      <c r="A328">
        <v>7</v>
      </c>
      <c r="C328">
        <f t="shared" si="36"/>
        <v>-2.4923784709472909</v>
      </c>
      <c r="D328">
        <f t="shared" si="37"/>
        <v>2.2120575374273055</v>
      </c>
      <c r="E328">
        <f t="shared" si="38"/>
        <v>-0.96586830195365991</v>
      </c>
      <c r="F328" t="e">
        <f>NA()</f>
        <v>#N/A</v>
      </c>
      <c r="G328" t="e">
        <f>NA()</f>
        <v>#N/A</v>
      </c>
      <c r="H328">
        <f t="shared" si="39"/>
        <v>2.2120575374273055</v>
      </c>
      <c r="I328">
        <f t="shared" si="40"/>
        <v>-0.96586830195365991</v>
      </c>
      <c r="J328" t="e">
        <f>NA()</f>
        <v>#N/A</v>
      </c>
      <c r="K328" t="e">
        <f>NA()</f>
        <v>#N/A</v>
      </c>
    </row>
    <row r="329" spans="1:11" x14ac:dyDescent="0.25">
      <c r="A329">
        <v>8</v>
      </c>
      <c r="C329">
        <f t="shared" si="36"/>
        <v>-2.3539130003391082</v>
      </c>
      <c r="D329">
        <f t="shared" si="37"/>
        <v>2.2672828613959308</v>
      </c>
      <c r="E329">
        <f t="shared" si="38"/>
        <v>-1.0903263612263769</v>
      </c>
      <c r="F329" t="e">
        <f>NA()</f>
        <v>#N/A</v>
      </c>
      <c r="G329" t="e">
        <f>NA()</f>
        <v>#N/A</v>
      </c>
      <c r="H329">
        <f t="shared" si="39"/>
        <v>2.2672828613959308</v>
      </c>
      <c r="I329">
        <f t="shared" si="40"/>
        <v>-1.0903263612263769</v>
      </c>
      <c r="J329" t="e">
        <f>NA()</f>
        <v>#N/A</v>
      </c>
      <c r="K329" t="e">
        <f>NA()</f>
        <v>#N/A</v>
      </c>
    </row>
    <row r="330" spans="1:11" x14ac:dyDescent="0.25">
      <c r="A330">
        <v>9</v>
      </c>
      <c r="C330">
        <f t="shared" si="36"/>
        <v>-2.2154475297309251</v>
      </c>
      <c r="D330">
        <f t="shared" si="37"/>
        <v>2.3131772563881752</v>
      </c>
      <c r="E330">
        <f t="shared" si="38"/>
        <v>-1.2054534915227126</v>
      </c>
      <c r="F330" t="e">
        <f>NA()</f>
        <v>#N/A</v>
      </c>
      <c r="G330" t="e">
        <f>NA()</f>
        <v>#N/A</v>
      </c>
      <c r="H330">
        <f t="shared" si="39"/>
        <v>2.3131772563881752</v>
      </c>
      <c r="I330">
        <f t="shared" si="40"/>
        <v>-1.2054534915227126</v>
      </c>
      <c r="J330" t="e">
        <f>NA()</f>
        <v>#N/A</v>
      </c>
      <c r="K330" t="e">
        <f>NA()</f>
        <v>#N/A</v>
      </c>
    </row>
    <row r="331" spans="1:11" x14ac:dyDescent="0.25">
      <c r="A331">
        <v>10</v>
      </c>
      <c r="C331">
        <f t="shared" si="36"/>
        <v>-2.0769820591227424</v>
      </c>
      <c r="D331">
        <f t="shared" si="37"/>
        <v>2.3509715167745622</v>
      </c>
      <c r="E331">
        <f t="shared" si="38"/>
        <v>-1.3124804872131908</v>
      </c>
      <c r="F331" t="e">
        <f>NA()</f>
        <v>#N/A</v>
      </c>
      <c r="G331" t="e">
        <f>NA()</f>
        <v>#N/A</v>
      </c>
      <c r="H331">
        <f t="shared" si="39"/>
        <v>2.3509715167745622</v>
      </c>
      <c r="I331">
        <f t="shared" si="40"/>
        <v>-1.3124804872131908</v>
      </c>
      <c r="J331" t="e">
        <f>NA()</f>
        <v>#N/A</v>
      </c>
      <c r="K331" t="e">
        <f>NA()</f>
        <v>#N/A</v>
      </c>
    </row>
    <row r="332" spans="1:11" x14ac:dyDescent="0.25">
      <c r="A332">
        <v>11</v>
      </c>
      <c r="C332">
        <f t="shared" si="36"/>
        <v>-1.9385165885145597</v>
      </c>
      <c r="D332">
        <f t="shared" si="37"/>
        <v>2.3815934607078528</v>
      </c>
      <c r="E332">
        <f t="shared" si="38"/>
        <v>-1.4123351664505728</v>
      </c>
      <c r="F332" t="e">
        <f>NA()</f>
        <v>#N/A</v>
      </c>
      <c r="G332" t="e">
        <f>NA()</f>
        <v>#N/A</v>
      </c>
      <c r="H332">
        <f t="shared" si="39"/>
        <v>2.3815934607078528</v>
      </c>
      <c r="I332">
        <f t="shared" si="40"/>
        <v>-1.4123351664505728</v>
      </c>
      <c r="J332" t="e">
        <f>NA()</f>
        <v>#N/A</v>
      </c>
      <c r="K332" t="e">
        <f>NA()</f>
        <v>#N/A</v>
      </c>
    </row>
    <row r="333" spans="1:11" x14ac:dyDescent="0.25">
      <c r="A333">
        <v>12</v>
      </c>
      <c r="C333">
        <f t="shared" si="36"/>
        <v>-1.8000511179063767</v>
      </c>
      <c r="D333">
        <f t="shared" si="37"/>
        <v>2.4057609654335019</v>
      </c>
      <c r="E333">
        <f t="shared" si="38"/>
        <v>-1.5057354064803137</v>
      </c>
      <c r="F333" t="e">
        <f>NA()</f>
        <v>#N/A</v>
      </c>
      <c r="G333" t="e">
        <f>NA()</f>
        <v>#N/A</v>
      </c>
      <c r="H333">
        <f t="shared" si="39"/>
        <v>2.4057609654335019</v>
      </c>
      <c r="I333">
        <f t="shared" si="40"/>
        <v>-1.5057354064803137</v>
      </c>
      <c r="J333" t="e">
        <f>NA()</f>
        <v>#N/A</v>
      </c>
      <c r="K333" t="e">
        <f>NA()</f>
        <v>#N/A</v>
      </c>
    </row>
    <row r="334" spans="1:11" x14ac:dyDescent="0.25">
      <c r="A334">
        <v>13</v>
      </c>
      <c r="C334">
        <f t="shared" si="36"/>
        <v>-1.661585647298194</v>
      </c>
      <c r="D334">
        <f t="shared" si="37"/>
        <v>2.424040787024528</v>
      </c>
      <c r="E334">
        <f t="shared" si="38"/>
        <v>-1.5932479633754308</v>
      </c>
      <c r="F334" t="e">
        <f>NA()</f>
        <v>#N/A</v>
      </c>
      <c r="G334" t="e">
        <f>NA()</f>
        <v>#N/A</v>
      </c>
      <c r="H334">
        <f t="shared" si="39"/>
        <v>2.424040787024528</v>
      </c>
      <c r="I334">
        <f t="shared" si="40"/>
        <v>-1.5932479633754308</v>
      </c>
      <c r="J334" t="e">
        <f>NA()</f>
        <v>#N/A</v>
      </c>
      <c r="K334" t="e">
        <f>NA()</f>
        <v>#N/A</v>
      </c>
    </row>
    <row r="335" spans="1:11" x14ac:dyDescent="0.25">
      <c r="A335">
        <v>14</v>
      </c>
      <c r="C335">
        <f t="shared" si="36"/>
        <v>-1.5231201766900111</v>
      </c>
      <c r="D335">
        <f t="shared" si="37"/>
        <v>2.4368873819443886</v>
      </c>
      <c r="E335">
        <f t="shared" si="38"/>
        <v>-1.6753272935993833</v>
      </c>
      <c r="F335" t="e">
        <f>NA()</f>
        <v>#N/A</v>
      </c>
      <c r="G335" t="e">
        <f>NA()</f>
        <v>#N/A</v>
      </c>
      <c r="H335">
        <f t="shared" si="39"/>
        <v>2.4368873819443886</v>
      </c>
      <c r="I335">
        <f t="shared" si="40"/>
        <v>-1.6753272935993833</v>
      </c>
      <c r="J335" t="e">
        <f>NA()</f>
        <v>#N/A</v>
      </c>
      <c r="K335" t="e">
        <f>NA()</f>
        <v>#N/A</v>
      </c>
    </row>
    <row r="336" spans="1:11" x14ac:dyDescent="0.25">
      <c r="A336">
        <v>15</v>
      </c>
      <c r="C336">
        <f t="shared" si="36"/>
        <v>-1.3846547060818284</v>
      </c>
      <c r="D336">
        <f t="shared" si="37"/>
        <v>2.4446694406593994</v>
      </c>
      <c r="E336">
        <f t="shared" si="38"/>
        <v>-1.752342087618485</v>
      </c>
      <c r="F336" t="e">
        <f>NA()</f>
        <v>#N/A</v>
      </c>
      <c r="G336" t="e">
        <f>NA()</f>
        <v>#N/A</v>
      </c>
      <c r="H336">
        <f t="shared" si="39"/>
        <v>2.4446694406593994</v>
      </c>
      <c r="I336">
        <f t="shared" si="40"/>
        <v>-1.752342087618485</v>
      </c>
      <c r="J336" t="e">
        <f>NA()</f>
        <v>#N/A</v>
      </c>
      <c r="K336" t="e">
        <f>NA()</f>
        <v>#N/A</v>
      </c>
    </row>
    <row r="337" spans="1:11" x14ac:dyDescent="0.25">
      <c r="A337">
        <v>16</v>
      </c>
      <c r="C337">
        <f t="shared" si="36"/>
        <v>-1.2461892354736457</v>
      </c>
      <c r="D337">
        <f t="shared" si="37"/>
        <v>2.4476885493011311</v>
      </c>
      <c r="E337">
        <f t="shared" si="38"/>
        <v>-1.8245939315643085</v>
      </c>
      <c r="F337" t="e">
        <f>NA()</f>
        <v>#N/A</v>
      </c>
      <c r="G337" t="e">
        <f>NA()</f>
        <v>#N/A</v>
      </c>
      <c r="H337">
        <f t="shared" si="39"/>
        <v>2.4476885493011311</v>
      </c>
      <c r="I337">
        <f t="shared" si="40"/>
        <v>-1.8245939315643085</v>
      </c>
      <c r="J337" t="e">
        <f>NA()</f>
        <v>#N/A</v>
      </c>
      <c r="K337" t="e">
        <f>NA()</f>
        <v>#N/A</v>
      </c>
    </row>
    <row r="338" spans="1:11" x14ac:dyDescent="0.25">
      <c r="A338">
        <v>17</v>
      </c>
      <c r="C338">
        <f t="shared" si="36"/>
        <v>-1.1077237648654625</v>
      </c>
      <c r="D338">
        <f t="shared" si="37"/>
        <v>2.44619262559163</v>
      </c>
      <c r="E338">
        <f t="shared" si="38"/>
        <v>-1.8923307431588989</v>
      </c>
      <c r="F338" t="e">
        <f>NA()</f>
        <v>#N/A</v>
      </c>
      <c r="G338" t="e">
        <f>NA()</f>
        <v>#N/A</v>
      </c>
      <c r="H338">
        <f t="shared" si="39"/>
        <v>2.44619262559163</v>
      </c>
      <c r="I338">
        <f t="shared" si="40"/>
        <v>-1.8923307431588989</v>
      </c>
      <c r="J338" t="e">
        <f>NA()</f>
        <v>#N/A</v>
      </c>
      <c r="K338" t="e">
        <f>NA()</f>
        <v>#N/A</v>
      </c>
    </row>
    <row r="339" spans="1:11" x14ac:dyDescent="0.25">
      <c r="A339">
        <v>18</v>
      </c>
      <c r="C339">
        <f t="shared" si="36"/>
        <v>-0.96925829425727983</v>
      </c>
      <c r="D339">
        <f t="shared" si="37"/>
        <v>2.4403857759569716</v>
      </c>
      <c r="E339">
        <f t="shared" si="38"/>
        <v>-1.9557566288283317</v>
      </c>
      <c r="F339" t="e">
        <f>NA()</f>
        <v>#N/A</v>
      </c>
      <c r="G339" t="e">
        <f>NA()</f>
        <v>#N/A</v>
      </c>
      <c r="H339">
        <f t="shared" si="39"/>
        <v>2.4403857759569716</v>
      </c>
      <c r="I339">
        <f t="shared" si="40"/>
        <v>-1.9557566288283317</v>
      </c>
      <c r="J339" t="e">
        <f>NA()</f>
        <v>#N/A</v>
      </c>
      <c r="K339" t="e">
        <f>NA()</f>
        <v>#N/A</v>
      </c>
    </row>
    <row r="340" spans="1:11" x14ac:dyDescent="0.25">
      <c r="A340">
        <v>19</v>
      </c>
      <c r="C340">
        <f t="shared" si="36"/>
        <v>-0.83079282364909668</v>
      </c>
      <c r="D340">
        <f t="shared" si="37"/>
        <v>2.430435632048173</v>
      </c>
      <c r="E340">
        <f t="shared" si="38"/>
        <v>-2.0150392202236249</v>
      </c>
      <c r="F340" t="e">
        <f>NA()</f>
        <v>#N/A</v>
      </c>
      <c r="G340" t="e">
        <f>NA()</f>
        <v>#N/A</v>
      </c>
      <c r="H340">
        <f t="shared" si="39"/>
        <v>2.430435632048173</v>
      </c>
      <c r="I340">
        <f t="shared" si="40"/>
        <v>-2.0150392202236249</v>
      </c>
      <c r="J340" t="e">
        <f>NA()</f>
        <v>#N/A</v>
      </c>
      <c r="K340" t="e">
        <f>NA()</f>
        <v>#N/A</v>
      </c>
    </row>
    <row r="341" spans="1:11" x14ac:dyDescent="0.25">
      <c r="A341">
        <v>20</v>
      </c>
      <c r="C341">
        <f t="shared" si="36"/>
        <v>-0.69232735304091397</v>
      </c>
      <c r="D341">
        <f t="shared" si="37"/>
        <v>2.4164788649968481</v>
      </c>
      <c r="E341">
        <f t="shared" si="38"/>
        <v>-2.0703151884763908</v>
      </c>
      <c r="F341" t="e">
        <f>NA()</f>
        <v>#N/A</v>
      </c>
      <c r="G341" t="e">
        <f>NA()</f>
        <v>#N/A</v>
      </c>
      <c r="H341">
        <f t="shared" si="39"/>
        <v>2.4164788649968481</v>
      </c>
      <c r="I341">
        <f t="shared" si="40"/>
        <v>-2.0703151884763908</v>
      </c>
      <c r="J341" t="e">
        <f>NA()</f>
        <v>#N/A</v>
      </c>
      <c r="K341" t="e">
        <f>NA()</f>
        <v>#N/A</v>
      </c>
    </row>
    <row r="342" spans="1:11" x14ac:dyDescent="0.25">
      <c r="A342">
        <v>21</v>
      </c>
      <c r="C342">
        <f t="shared" si="36"/>
        <v>-0.55386188243273171</v>
      </c>
      <c r="D342">
        <f t="shared" si="37"/>
        <v>2.3986253483301692</v>
      </c>
      <c r="E342">
        <f t="shared" si="38"/>
        <v>-2.1216944071138037</v>
      </c>
      <c r="F342" t="e">
        <f>NA()</f>
        <v>#N/A</v>
      </c>
      <c r="G342" t="e">
        <f>NA()</f>
        <v>#N/A</v>
      </c>
      <c r="H342">
        <f t="shared" si="39"/>
        <v>2.3986253483301692</v>
      </c>
      <c r="I342">
        <f t="shared" si="40"/>
        <v>-2.1216944071138037</v>
      </c>
      <c r="J342" t="e">
        <f>NA()</f>
        <v>#N/A</v>
      </c>
      <c r="K342" t="e">
        <f>NA()</f>
        <v>#N/A</v>
      </c>
    </row>
    <row r="343" spans="1:11" x14ac:dyDescent="0.25">
      <c r="A343">
        <v>22</v>
      </c>
      <c r="C343">
        <f t="shared" si="36"/>
        <v>-0.41539641182454856</v>
      </c>
      <c r="D343">
        <f t="shared" si="37"/>
        <v>2.3769612923180974</v>
      </c>
      <c r="E343">
        <f t="shared" si="38"/>
        <v>-2.1692630864058229</v>
      </c>
      <c r="F343" t="e">
        <f>NA()</f>
        <v>#N/A</v>
      </c>
      <c r="G343" t="e">
        <f>NA()</f>
        <v>#N/A</v>
      </c>
      <c r="H343">
        <f t="shared" si="39"/>
        <v>2.3769612923180974</v>
      </c>
      <c r="I343">
        <f t="shared" si="40"/>
        <v>-2.1692630864058229</v>
      </c>
      <c r="J343" t="e">
        <f>NA()</f>
        <v>#N/A</v>
      </c>
      <c r="K343" t="e">
        <f>NA()</f>
        <v>#N/A</v>
      </c>
    </row>
    <row r="344" spans="1:11" x14ac:dyDescent="0.25">
      <c r="A344">
        <v>23</v>
      </c>
      <c r="C344">
        <f t="shared" si="36"/>
        <v>-0.27693094121636586</v>
      </c>
      <c r="D344">
        <f t="shared" si="37"/>
        <v>2.3515515730775691</v>
      </c>
      <c r="E344">
        <f t="shared" si="38"/>
        <v>-2.2130861024693864</v>
      </c>
      <c r="F344" t="e">
        <f>NA()</f>
        <v>#N/A</v>
      </c>
      <c r="G344" t="e">
        <f>NA()</f>
        <v>#N/A</v>
      </c>
      <c r="H344">
        <f t="shared" si="39"/>
        <v>2.3515515730775691</v>
      </c>
      <c r="I344">
        <f t="shared" si="40"/>
        <v>-2.2130861024693864</v>
      </c>
      <c r="J344" t="e">
        <f>NA()</f>
        <v>#N/A</v>
      </c>
      <c r="K344" t="e">
        <f>NA()</f>
        <v>#N/A</v>
      </c>
    </row>
    <row r="345" spans="1:11" x14ac:dyDescent="0.25">
      <c r="A345">
        <v>24</v>
      </c>
      <c r="C345">
        <f t="shared" si="36"/>
        <v>-0.13846547060818271</v>
      </c>
      <c r="D345">
        <f t="shared" si="37"/>
        <v>2.3224414108652569</v>
      </c>
      <c r="E345">
        <f t="shared" si="38"/>
        <v>-2.253208675561166</v>
      </c>
      <c r="F345" t="e">
        <f>NA()</f>
        <v>#N/A</v>
      </c>
      <c r="G345" t="e">
        <f>NA()</f>
        <v>#N/A</v>
      </c>
      <c r="H345">
        <f t="shared" si="39"/>
        <v>2.3224414108652569</v>
      </c>
      <c r="I345">
        <f t="shared" si="40"/>
        <v>-2.253208675561166</v>
      </c>
      <c r="J345" t="e">
        <f>NA()</f>
        <v>#N/A</v>
      </c>
      <c r="K345" t="e">
        <f>NA()</f>
        <v>#N/A</v>
      </c>
    </row>
    <row r="346" spans="1:11" x14ac:dyDescent="0.25">
      <c r="A346">
        <v>25</v>
      </c>
      <c r="C346">
        <f t="shared" si="36"/>
        <v>0</v>
      </c>
      <c r="D346">
        <f t="shared" si="37"/>
        <v>2.2896575024923451</v>
      </c>
      <c r="E346">
        <f t="shared" si="38"/>
        <v>-2.2896575024923451</v>
      </c>
      <c r="F346" t="e">
        <f>NA()</f>
        <v>#N/A</v>
      </c>
      <c r="G346" t="e">
        <f>NA()</f>
        <v>#N/A</v>
      </c>
      <c r="H346">
        <f t="shared" si="39"/>
        <v>2.2896575024923451</v>
      </c>
      <c r="I346">
        <f t="shared" si="40"/>
        <v>-2.2896575024923451</v>
      </c>
      <c r="J346" t="e">
        <f>NA()</f>
        <v>#N/A</v>
      </c>
      <c r="K346" t="e">
        <f>NA()</f>
        <v>#N/A</v>
      </c>
    </row>
    <row r="347" spans="1:11" x14ac:dyDescent="0.25">
      <c r="A347">
        <v>26</v>
      </c>
      <c r="C347">
        <f t="shared" si="36"/>
        <v>0.13846547060818271</v>
      </c>
      <c r="D347">
        <f t="shared" si="37"/>
        <v>2.253208675561166</v>
      </c>
      <c r="E347">
        <f t="shared" si="38"/>
        <v>-2.3224414108652569</v>
      </c>
      <c r="F347" t="e">
        <f>NA()</f>
        <v>#N/A</v>
      </c>
      <c r="G347" t="e">
        <f>NA()</f>
        <v>#N/A</v>
      </c>
      <c r="H347">
        <f t="shared" si="39"/>
        <v>2.253208675561166</v>
      </c>
      <c r="I347">
        <f t="shared" si="40"/>
        <v>-2.3224414108652569</v>
      </c>
      <c r="J347" t="e">
        <f>NA()</f>
        <v>#N/A</v>
      </c>
      <c r="K347" t="e">
        <f>NA()</f>
        <v>#N/A</v>
      </c>
    </row>
    <row r="348" spans="1:11" x14ac:dyDescent="0.25">
      <c r="A348">
        <v>27</v>
      </c>
      <c r="C348">
        <f t="shared" si="36"/>
        <v>0.27693094121636541</v>
      </c>
      <c r="D348">
        <f t="shared" si="37"/>
        <v>2.2130861024693869</v>
      </c>
      <c r="E348">
        <f t="shared" si="38"/>
        <v>-2.3515515730775696</v>
      </c>
      <c r="F348" t="e">
        <f>NA()</f>
        <v>#N/A</v>
      </c>
      <c r="G348" t="e">
        <f>NA()</f>
        <v>#N/A</v>
      </c>
      <c r="H348">
        <f t="shared" si="39"/>
        <v>2.2130861024693869</v>
      </c>
      <c r="I348">
        <f t="shared" si="40"/>
        <v>-2.3515515730775696</v>
      </c>
      <c r="J348" t="e">
        <f>NA()</f>
        <v>#N/A</v>
      </c>
      <c r="K348" t="e">
        <f>NA()</f>
        <v>#N/A</v>
      </c>
    </row>
    <row r="349" spans="1:11" x14ac:dyDescent="0.25">
      <c r="A349">
        <v>28</v>
      </c>
      <c r="C349">
        <f t="shared" si="36"/>
        <v>0.41539641182454856</v>
      </c>
      <c r="D349">
        <f t="shared" si="37"/>
        <v>2.1692630864058229</v>
      </c>
      <c r="E349">
        <f t="shared" si="38"/>
        <v>-2.3769612923180974</v>
      </c>
      <c r="F349" t="e">
        <f>NA()</f>
        <v>#N/A</v>
      </c>
      <c r="G349" t="e">
        <f>NA()</f>
        <v>#N/A</v>
      </c>
      <c r="H349">
        <f t="shared" si="39"/>
        <v>2.1692630864058229</v>
      </c>
      <c r="I349">
        <f t="shared" si="40"/>
        <v>-2.3769612923180974</v>
      </c>
      <c r="J349" t="e">
        <f>NA()</f>
        <v>#N/A</v>
      </c>
      <c r="K349" t="e">
        <f>NA()</f>
        <v>#N/A</v>
      </c>
    </row>
    <row r="350" spans="1:11" x14ac:dyDescent="0.25">
      <c r="A350">
        <v>29</v>
      </c>
      <c r="C350">
        <f t="shared" si="36"/>
        <v>0.55386188243273127</v>
      </c>
      <c r="D350">
        <f t="shared" si="37"/>
        <v>2.1216944071138037</v>
      </c>
      <c r="E350">
        <f t="shared" si="38"/>
        <v>-2.3986253483301692</v>
      </c>
      <c r="F350" t="e">
        <f>NA()</f>
        <v>#N/A</v>
      </c>
      <c r="G350" t="e">
        <f>NA()</f>
        <v>#N/A</v>
      </c>
      <c r="H350">
        <f t="shared" si="39"/>
        <v>2.1216944071138037</v>
      </c>
      <c r="I350">
        <f t="shared" si="40"/>
        <v>-2.3986253483301692</v>
      </c>
      <c r="J350" t="e">
        <f>NA()</f>
        <v>#N/A</v>
      </c>
      <c r="K350" t="e">
        <f>NA()</f>
        <v>#N/A</v>
      </c>
    </row>
    <row r="351" spans="1:11" x14ac:dyDescent="0.25">
      <c r="A351">
        <v>30</v>
      </c>
      <c r="C351">
        <f t="shared" si="36"/>
        <v>0.69232735304091397</v>
      </c>
      <c r="D351">
        <f t="shared" si="37"/>
        <v>2.0703151884763908</v>
      </c>
      <c r="E351">
        <f t="shared" si="38"/>
        <v>-2.4164788649968481</v>
      </c>
      <c r="F351" t="e">
        <f>NA()</f>
        <v>#N/A</v>
      </c>
      <c r="G351" t="e">
        <f>NA()</f>
        <v>#N/A</v>
      </c>
      <c r="H351">
        <f t="shared" si="39"/>
        <v>2.0703151884763908</v>
      </c>
      <c r="I351">
        <f t="shared" si="40"/>
        <v>-2.4164788649968481</v>
      </c>
      <c r="J351" t="e">
        <f>NA()</f>
        <v>#N/A</v>
      </c>
      <c r="K351" t="e">
        <f>NA()</f>
        <v>#N/A</v>
      </c>
    </row>
    <row r="352" spans="1:11" x14ac:dyDescent="0.25">
      <c r="A352">
        <v>31</v>
      </c>
      <c r="C352">
        <f t="shared" si="36"/>
        <v>0.83079282364909668</v>
      </c>
      <c r="D352">
        <f t="shared" si="37"/>
        <v>2.0150392202236249</v>
      </c>
      <c r="E352">
        <f t="shared" si="38"/>
        <v>-2.430435632048173</v>
      </c>
      <c r="F352" t="e">
        <f>NA()</f>
        <v>#N/A</v>
      </c>
      <c r="G352" t="e">
        <f>NA()</f>
        <v>#N/A</v>
      </c>
      <c r="H352">
        <f t="shared" si="39"/>
        <v>2.0150392202236249</v>
      </c>
      <c r="I352">
        <f t="shared" si="40"/>
        <v>-2.430435632048173</v>
      </c>
      <c r="J352" t="e">
        <f>NA()</f>
        <v>#N/A</v>
      </c>
      <c r="K352" t="e">
        <f>NA()</f>
        <v>#N/A</v>
      </c>
    </row>
    <row r="353" spans="1:11" x14ac:dyDescent="0.25">
      <c r="A353">
        <v>32</v>
      </c>
      <c r="C353">
        <f t="shared" ref="C353:C371" si="41">N57+$D$4</f>
        <v>0.96925829425727938</v>
      </c>
      <c r="D353">
        <f t="shared" ref="D353:D371" si="42">O57+$D$5</f>
        <v>1.9557566288283317</v>
      </c>
      <c r="E353">
        <f t="shared" ref="E353:E371" si="43">P57+$D$5</f>
        <v>-2.4403857759569716</v>
      </c>
      <c r="F353" t="e">
        <f>NA()</f>
        <v>#N/A</v>
      </c>
      <c r="G353" t="e">
        <f>NA()</f>
        <v>#N/A</v>
      </c>
      <c r="H353">
        <f t="shared" ref="H353:H371" si="44">D353</f>
        <v>1.9557566288283317</v>
      </c>
      <c r="I353">
        <f t="shared" ref="I353:I371" si="45">E353</f>
        <v>-2.4403857759569716</v>
      </c>
      <c r="J353" t="e">
        <f>NA()</f>
        <v>#N/A</v>
      </c>
      <c r="K353" t="e">
        <f>NA()</f>
        <v>#N/A</v>
      </c>
    </row>
    <row r="354" spans="1:11" x14ac:dyDescent="0.25">
      <c r="A354">
        <v>33</v>
      </c>
      <c r="C354">
        <f t="shared" si="41"/>
        <v>1.107723764865463</v>
      </c>
      <c r="D354">
        <f t="shared" si="42"/>
        <v>1.8923307431588983</v>
      </c>
      <c r="E354">
        <f t="shared" si="43"/>
        <v>-2.44619262559163</v>
      </c>
      <c r="F354" t="e">
        <f>NA()</f>
        <v>#N/A</v>
      </c>
      <c r="G354" t="e">
        <f>NA()</f>
        <v>#N/A</v>
      </c>
      <c r="H354">
        <f t="shared" si="44"/>
        <v>1.8923307431588983</v>
      </c>
      <c r="I354">
        <f t="shared" si="45"/>
        <v>-2.44619262559163</v>
      </c>
      <c r="J354" t="e">
        <f>NA()</f>
        <v>#N/A</v>
      </c>
      <c r="K354" t="e">
        <f>NA()</f>
        <v>#N/A</v>
      </c>
    </row>
    <row r="355" spans="1:11" x14ac:dyDescent="0.25">
      <c r="A355">
        <v>34</v>
      </c>
      <c r="C355">
        <f t="shared" si="41"/>
        <v>1.2461892354736457</v>
      </c>
      <c r="D355">
        <f t="shared" si="42"/>
        <v>1.8245939315643085</v>
      </c>
      <c r="E355">
        <f t="shared" si="43"/>
        <v>-2.4476885493011311</v>
      </c>
      <c r="F355" t="e">
        <f>NA()</f>
        <v>#N/A</v>
      </c>
      <c r="G355" t="e">
        <f>NA()</f>
        <v>#N/A</v>
      </c>
      <c r="H355">
        <f t="shared" si="44"/>
        <v>1.8245939315643085</v>
      </c>
      <c r="I355">
        <f t="shared" si="45"/>
        <v>-2.4476885493011311</v>
      </c>
      <c r="J355" t="e">
        <f>NA()</f>
        <v>#N/A</v>
      </c>
      <c r="K355" t="e">
        <f>NA()</f>
        <v>#N/A</v>
      </c>
    </row>
    <row r="356" spans="1:11" x14ac:dyDescent="0.25">
      <c r="A356">
        <v>35</v>
      </c>
      <c r="C356">
        <f t="shared" si="41"/>
        <v>1.3846547060818284</v>
      </c>
      <c r="D356">
        <f t="shared" si="42"/>
        <v>1.752342087618485</v>
      </c>
      <c r="E356">
        <f t="shared" si="43"/>
        <v>-2.4446694406593994</v>
      </c>
      <c r="F356" t="e">
        <f>NA()</f>
        <v>#N/A</v>
      </c>
      <c r="G356" t="e">
        <f>NA()</f>
        <v>#N/A</v>
      </c>
      <c r="H356">
        <f t="shared" si="44"/>
        <v>1.752342087618485</v>
      </c>
      <c r="I356">
        <f t="shared" si="45"/>
        <v>-2.4446694406593994</v>
      </c>
      <c r="J356" t="e">
        <f>NA()</f>
        <v>#N/A</v>
      </c>
      <c r="K356" t="e">
        <f>NA()</f>
        <v>#N/A</v>
      </c>
    </row>
    <row r="357" spans="1:11" x14ac:dyDescent="0.25">
      <c r="A357">
        <v>36</v>
      </c>
      <c r="C357">
        <f t="shared" si="41"/>
        <v>1.5231201766900111</v>
      </c>
      <c r="D357">
        <f t="shared" si="42"/>
        <v>1.6753272935993833</v>
      </c>
      <c r="E357">
        <f t="shared" si="43"/>
        <v>-2.4368873819443886</v>
      </c>
      <c r="F357" t="e">
        <f>NA()</f>
        <v>#N/A</v>
      </c>
      <c r="G357" t="e">
        <f>NA()</f>
        <v>#N/A</v>
      </c>
      <c r="H357">
        <f t="shared" si="44"/>
        <v>1.6753272935993833</v>
      </c>
      <c r="I357">
        <f t="shared" si="45"/>
        <v>-2.4368873819443886</v>
      </c>
      <c r="J357" t="e">
        <f>NA()</f>
        <v>#N/A</v>
      </c>
      <c r="K357" t="e">
        <f>NA()</f>
        <v>#N/A</v>
      </c>
    </row>
    <row r="358" spans="1:11" x14ac:dyDescent="0.25">
      <c r="A358">
        <v>37</v>
      </c>
      <c r="C358">
        <f t="shared" si="41"/>
        <v>1.6615856472981938</v>
      </c>
      <c r="D358">
        <f t="shared" si="42"/>
        <v>1.5932479633754308</v>
      </c>
      <c r="E358">
        <f t="shared" si="43"/>
        <v>-2.424040787024528</v>
      </c>
      <c r="F358" t="e">
        <f>NA()</f>
        <v>#N/A</v>
      </c>
      <c r="G358" t="e">
        <f>NA()</f>
        <v>#N/A</v>
      </c>
      <c r="H358">
        <f t="shared" si="44"/>
        <v>1.5932479633754308</v>
      </c>
      <c r="I358">
        <f t="shared" si="45"/>
        <v>-2.424040787024528</v>
      </c>
      <c r="J358" t="e">
        <f>NA()</f>
        <v>#N/A</v>
      </c>
      <c r="K358" t="e">
        <f>NA()</f>
        <v>#N/A</v>
      </c>
    </row>
    <row r="359" spans="1:11" x14ac:dyDescent="0.25">
      <c r="A359">
        <v>38</v>
      </c>
      <c r="C359">
        <f t="shared" si="41"/>
        <v>1.8000511179063774</v>
      </c>
      <c r="D359">
        <f t="shared" si="42"/>
        <v>1.505735406480313</v>
      </c>
      <c r="E359">
        <f t="shared" si="43"/>
        <v>-2.4057609654335019</v>
      </c>
      <c r="F359" t="e">
        <f>NA()</f>
        <v>#N/A</v>
      </c>
      <c r="G359" t="e">
        <f>NA()</f>
        <v>#N/A</v>
      </c>
      <c r="H359">
        <f t="shared" si="44"/>
        <v>1.505735406480313</v>
      </c>
      <c r="I359">
        <f t="shared" si="45"/>
        <v>-2.4057609654335019</v>
      </c>
      <c r="J359" t="e">
        <f>NA()</f>
        <v>#N/A</v>
      </c>
      <c r="K359" t="e">
        <f>NA()</f>
        <v>#N/A</v>
      </c>
    </row>
    <row r="360" spans="1:11" x14ac:dyDescent="0.25">
      <c r="A360">
        <v>39</v>
      </c>
      <c r="C360">
        <f t="shared" si="41"/>
        <v>1.9385165885145592</v>
      </c>
      <c r="D360">
        <f t="shared" si="42"/>
        <v>1.412335166450573</v>
      </c>
      <c r="E360">
        <f t="shared" si="43"/>
        <v>-2.3815934607078528</v>
      </c>
      <c r="F360" t="e">
        <f>NA()</f>
        <v>#N/A</v>
      </c>
      <c r="G360" t="e">
        <f>NA()</f>
        <v>#N/A</v>
      </c>
      <c r="H360">
        <f t="shared" si="44"/>
        <v>1.412335166450573</v>
      </c>
      <c r="I360">
        <f t="shared" si="45"/>
        <v>-2.3815934607078528</v>
      </c>
      <c r="J360" t="e">
        <f>NA()</f>
        <v>#N/A</v>
      </c>
      <c r="K360" t="e">
        <f>NA()</f>
        <v>#N/A</v>
      </c>
    </row>
    <row r="361" spans="1:11" x14ac:dyDescent="0.25">
      <c r="A361">
        <v>40</v>
      </c>
      <c r="C361">
        <f t="shared" si="41"/>
        <v>2.0769820591227428</v>
      </c>
      <c r="D361">
        <f t="shared" si="42"/>
        <v>1.3124804872131905</v>
      </c>
      <c r="E361">
        <f t="shared" si="43"/>
        <v>-2.3509715167745617</v>
      </c>
      <c r="F361" t="e">
        <f>NA()</f>
        <v>#N/A</v>
      </c>
      <c r="G361" t="e">
        <f>NA()</f>
        <v>#N/A</v>
      </c>
      <c r="H361">
        <f t="shared" si="44"/>
        <v>1.3124804872131905</v>
      </c>
      <c r="I361">
        <f t="shared" si="45"/>
        <v>-2.3509715167745617</v>
      </c>
      <c r="J361" t="e">
        <f>NA()</f>
        <v>#N/A</v>
      </c>
      <c r="K361" t="e">
        <f>NA()</f>
        <v>#N/A</v>
      </c>
    </row>
    <row r="362" spans="1:11" x14ac:dyDescent="0.25">
      <c r="A362">
        <v>41</v>
      </c>
      <c r="C362">
        <f t="shared" si="41"/>
        <v>2.2154475297309255</v>
      </c>
      <c r="D362">
        <f t="shared" si="42"/>
        <v>1.2054534915227122</v>
      </c>
      <c r="E362">
        <f t="shared" si="43"/>
        <v>-2.3131772563881752</v>
      </c>
      <c r="F362" t="e">
        <f>NA()</f>
        <v>#N/A</v>
      </c>
      <c r="G362" t="e">
        <f>NA()</f>
        <v>#N/A</v>
      </c>
      <c r="H362">
        <f t="shared" si="44"/>
        <v>1.2054534915227122</v>
      </c>
      <c r="I362">
        <f t="shared" si="45"/>
        <v>-2.3131772563881752</v>
      </c>
      <c r="J362" t="e">
        <f>NA()</f>
        <v>#N/A</v>
      </c>
      <c r="K362" t="e">
        <f>NA()</f>
        <v>#N/A</v>
      </c>
    </row>
    <row r="363" spans="1:11" x14ac:dyDescent="0.25">
      <c r="A363">
        <v>42</v>
      </c>
      <c r="C363">
        <f t="shared" si="41"/>
        <v>2.3539130003391073</v>
      </c>
      <c r="D363">
        <f t="shared" si="42"/>
        <v>1.0903263612263774</v>
      </c>
      <c r="E363">
        <f t="shared" si="43"/>
        <v>-2.2672828613959313</v>
      </c>
      <c r="F363" t="e">
        <f>NA()</f>
        <v>#N/A</v>
      </c>
      <c r="G363" t="e">
        <f>NA()</f>
        <v>#N/A</v>
      </c>
      <c r="H363">
        <f t="shared" si="44"/>
        <v>1.0903263612263774</v>
      </c>
      <c r="I363">
        <f t="shared" si="45"/>
        <v>-2.2672828613959313</v>
      </c>
      <c r="J363" t="e">
        <f>NA()</f>
        <v>#N/A</v>
      </c>
      <c r="K363" t="e">
        <f>NA()</f>
        <v>#N/A</v>
      </c>
    </row>
    <row r="364" spans="1:11" x14ac:dyDescent="0.25">
      <c r="A364">
        <v>43</v>
      </c>
      <c r="C364">
        <f t="shared" si="41"/>
        <v>2.4923784709472909</v>
      </c>
      <c r="D364">
        <f t="shared" si="42"/>
        <v>0.96586830195365991</v>
      </c>
      <c r="E364">
        <f t="shared" si="43"/>
        <v>-2.2120575374273055</v>
      </c>
      <c r="F364" t="e">
        <f>NA()</f>
        <v>#N/A</v>
      </c>
      <c r="G364" t="e">
        <f>NA()</f>
        <v>#N/A</v>
      </c>
      <c r="H364">
        <f t="shared" si="44"/>
        <v>0.96586830195365991</v>
      </c>
      <c r="I364">
        <f t="shared" si="45"/>
        <v>-2.2120575374273055</v>
      </c>
      <c r="J364" t="e">
        <f>NA()</f>
        <v>#N/A</v>
      </c>
      <c r="K364" t="e">
        <f>NA()</f>
        <v>#N/A</v>
      </c>
    </row>
    <row r="365" spans="1:11" x14ac:dyDescent="0.25">
      <c r="A365">
        <v>44</v>
      </c>
      <c r="C365">
        <f t="shared" si="41"/>
        <v>2.6308439415554736</v>
      </c>
      <c r="D365">
        <f t="shared" si="42"/>
        <v>0.83039025330798533</v>
      </c>
      <c r="E365">
        <f t="shared" si="43"/>
        <v>-2.1458122240857223</v>
      </c>
      <c r="F365" t="e">
        <f>NA()</f>
        <v>#N/A</v>
      </c>
      <c r="G365" t="e">
        <f>NA()</f>
        <v>#N/A</v>
      </c>
      <c r="H365">
        <f t="shared" si="44"/>
        <v>0.83039025330798533</v>
      </c>
      <c r="I365">
        <f t="shared" si="45"/>
        <v>-2.1458122240857223</v>
      </c>
      <c r="J365" t="e">
        <f>NA()</f>
        <v>#N/A</v>
      </c>
      <c r="K365" t="e">
        <f>NA()</f>
        <v>#N/A</v>
      </c>
    </row>
    <row r="366" spans="1:11" x14ac:dyDescent="0.25">
      <c r="A366">
        <v>45</v>
      </c>
      <c r="C366">
        <f t="shared" si="41"/>
        <v>2.7693094121636572</v>
      </c>
      <c r="D366">
        <f t="shared" si="42"/>
        <v>0.68146714845449219</v>
      </c>
      <c r="E366">
        <f t="shared" si="43"/>
        <v>-2.0661218545363207</v>
      </c>
      <c r="F366" t="e">
        <f>NA()</f>
        <v>#N/A</v>
      </c>
      <c r="G366" t="e">
        <f>NA()</f>
        <v>#N/A</v>
      </c>
      <c r="H366">
        <f t="shared" si="44"/>
        <v>0.68146714845449219</v>
      </c>
      <c r="I366">
        <f t="shared" si="45"/>
        <v>-2.0661218545363207</v>
      </c>
      <c r="J366" t="e">
        <f>NA()</f>
        <v>#N/A</v>
      </c>
      <c r="K366" t="e">
        <f>NA()</f>
        <v>#N/A</v>
      </c>
    </row>
    <row r="367" spans="1:11" x14ac:dyDescent="0.25">
      <c r="A367">
        <v>46</v>
      </c>
      <c r="C367">
        <f t="shared" si="41"/>
        <v>2.907774882771839</v>
      </c>
      <c r="D367">
        <f t="shared" si="42"/>
        <v>0.51539329772636455</v>
      </c>
      <c r="E367">
        <f t="shared" si="43"/>
        <v>-1.9692807391122842</v>
      </c>
      <c r="F367" t="e">
        <f>NA()</f>
        <v>#N/A</v>
      </c>
      <c r="G367" t="e">
        <f>NA()</f>
        <v>#N/A</v>
      </c>
      <c r="H367">
        <f t="shared" si="44"/>
        <v>0.51539329772636455</v>
      </c>
      <c r="I367">
        <f t="shared" si="45"/>
        <v>-1.9692807391122842</v>
      </c>
      <c r="J367" t="e">
        <f>NA()</f>
        <v>#N/A</v>
      </c>
      <c r="K367" t="e">
        <f>NA()</f>
        <v>#N/A</v>
      </c>
    </row>
    <row r="368" spans="1:11" x14ac:dyDescent="0.25">
      <c r="A368">
        <v>47</v>
      </c>
      <c r="C368">
        <f t="shared" si="41"/>
        <v>3.0462403533800217</v>
      </c>
      <c r="D368">
        <f t="shared" si="42"/>
        <v>0.32596696952487425</v>
      </c>
      <c r="E368">
        <f t="shared" si="43"/>
        <v>-1.849087146214885</v>
      </c>
      <c r="F368" t="e">
        <f>NA()</f>
        <v>#N/A</v>
      </c>
      <c r="G368" t="e">
        <f>NA()</f>
        <v>#N/A</v>
      </c>
      <c r="H368">
        <f t="shared" si="44"/>
        <v>0.32596696952487425</v>
      </c>
      <c r="I368">
        <f t="shared" si="45"/>
        <v>-1.849087146214885</v>
      </c>
      <c r="J368" t="e">
        <f>NA()</f>
        <v>#N/A</v>
      </c>
      <c r="K368" t="e">
        <f>NA()</f>
        <v>#N/A</v>
      </c>
    </row>
    <row r="369" spans="1:11" x14ac:dyDescent="0.25">
      <c r="A369">
        <v>48</v>
      </c>
      <c r="C369">
        <f t="shared" si="41"/>
        <v>3.1847058239882053</v>
      </c>
      <c r="D369">
        <f t="shared" si="42"/>
        <v>0.10118235469759596</v>
      </c>
      <c r="E369">
        <f t="shared" si="43"/>
        <v>-1.6935352666916987</v>
      </c>
      <c r="F369" t="e">
        <f>NA()</f>
        <v>#N/A</v>
      </c>
      <c r="G369" t="e">
        <f>NA()</f>
        <v>#N/A</v>
      </c>
      <c r="H369">
        <f t="shared" si="44"/>
        <v>0.10118235469759596</v>
      </c>
      <c r="I369">
        <f t="shared" si="45"/>
        <v>-1.6935352666916987</v>
      </c>
      <c r="J369" t="e">
        <f>NA()</f>
        <v>#N/A</v>
      </c>
      <c r="K369" t="e">
        <f>NA()</f>
        <v>#N/A</v>
      </c>
    </row>
    <row r="370" spans="1:11" x14ac:dyDescent="0.25">
      <c r="A370">
        <v>49</v>
      </c>
      <c r="C370">
        <f t="shared" si="41"/>
        <v>3.323171294596388</v>
      </c>
      <c r="D370">
        <f t="shared" si="42"/>
        <v>-0.18968872295124106</v>
      </c>
      <c r="E370">
        <f t="shared" si="43"/>
        <v>-1.4718969243469529</v>
      </c>
      <c r="F370" t="e">
        <f>NA()</f>
        <v>#N/A</v>
      </c>
      <c r="G370" t="e">
        <f>NA()</f>
        <v>#N/A</v>
      </c>
      <c r="H370">
        <f t="shared" si="44"/>
        <v>-0.18968872295124106</v>
      </c>
      <c r="I370">
        <f t="shared" si="45"/>
        <v>-1.4718969243469529</v>
      </c>
      <c r="J370" t="e">
        <f>NA()</f>
        <v>#N/A</v>
      </c>
      <c r="K370" t="e">
        <f>NA()</f>
        <v>#N/A</v>
      </c>
    </row>
    <row r="371" spans="1:11" x14ac:dyDescent="0.25">
      <c r="A371">
        <v>50</v>
      </c>
      <c r="C371">
        <f t="shared" si="41"/>
        <v>3.4616367652045716</v>
      </c>
      <c r="D371">
        <f t="shared" si="42"/>
        <v>-0.8654091355461031</v>
      </c>
      <c r="E371">
        <f t="shared" si="43"/>
        <v>-0.86540924705618272</v>
      </c>
      <c r="F371" t="e">
        <f>NA()</f>
        <v>#N/A</v>
      </c>
      <c r="G371" t="e">
        <f>NA()</f>
        <v>#N/A</v>
      </c>
      <c r="H371">
        <f t="shared" si="44"/>
        <v>-0.8654091355461031</v>
      </c>
      <c r="I371">
        <f t="shared" si="45"/>
        <v>-0.86540924705618272</v>
      </c>
      <c r="J371" t="e">
        <f>NA()</f>
        <v>#N/A</v>
      </c>
      <c r="K371" t="e">
        <f>NA()</f>
        <v>#N/A</v>
      </c>
    </row>
    <row r="372" spans="1:11" x14ac:dyDescent="0.25">
      <c r="A372" t="s">
        <v>54</v>
      </c>
      <c r="C372">
        <f t="shared" ref="C372:C403" si="46">R25+$D$14</f>
        <v>1.5522531693191839</v>
      </c>
      <c r="D372">
        <f t="shared" ref="D372:D403" si="47">S25+$D$15</f>
        <v>2.5313519397571049</v>
      </c>
      <c r="E372">
        <f t="shared" ref="E372:E403" si="48">T25+$D$15</f>
        <v>2.5313518634259164</v>
      </c>
      <c r="F372" t="e">
        <f>NA()</f>
        <v>#N/A</v>
      </c>
      <c r="G372" t="e">
        <f>NA()</f>
        <v>#N/A</v>
      </c>
      <c r="H372" t="e">
        <f>NA()</f>
        <v>#N/A</v>
      </c>
      <c r="I372" t="e">
        <f>NA()</f>
        <v>#N/A</v>
      </c>
      <c r="J372">
        <f t="shared" ref="J372:J403" si="49">D372</f>
        <v>2.5313519397571049</v>
      </c>
      <c r="K372">
        <f t="shared" ref="K372:K403" si="50">E372</f>
        <v>2.5313518634259164</v>
      </c>
    </row>
    <row r="373" spans="1:11" x14ac:dyDescent="0.25">
      <c r="A373">
        <v>1</v>
      </c>
      <c r="C373">
        <f t="shared" si="46"/>
        <v>1.6501630425464167</v>
      </c>
      <c r="D373">
        <f t="shared" si="47"/>
        <v>3.4677985408112315</v>
      </c>
      <c r="E373">
        <f t="shared" si="48"/>
        <v>1.7123971102444697</v>
      </c>
      <c r="F373" t="e">
        <f>NA()</f>
        <v>#N/A</v>
      </c>
      <c r="G373" t="e">
        <f>NA()</f>
        <v>#N/A</v>
      </c>
      <c r="H373" t="e">
        <f>NA()</f>
        <v>#N/A</v>
      </c>
      <c r="I373" t="e">
        <f>NA()</f>
        <v>#N/A</v>
      </c>
      <c r="J373">
        <f t="shared" si="49"/>
        <v>3.4677985408112315</v>
      </c>
      <c r="K373">
        <f t="shared" si="50"/>
        <v>1.7123971102444697</v>
      </c>
    </row>
    <row r="374" spans="1:11" x14ac:dyDescent="0.25">
      <c r="A374">
        <v>2</v>
      </c>
      <c r="C374">
        <f t="shared" si="46"/>
        <v>1.748072915773649</v>
      </c>
      <c r="D374">
        <f t="shared" si="47"/>
        <v>3.8773688347899586</v>
      </c>
      <c r="E374">
        <f t="shared" si="48"/>
        <v>1.4203186641384207</v>
      </c>
      <c r="F374" t="e">
        <f>NA()</f>
        <v>#N/A</v>
      </c>
      <c r="G374" t="e">
        <f>NA()</f>
        <v>#N/A</v>
      </c>
      <c r="H374" t="e">
        <f>NA()</f>
        <v>#N/A</v>
      </c>
      <c r="I374" t="e">
        <f>NA()</f>
        <v>#N/A</v>
      </c>
      <c r="J374">
        <f t="shared" si="49"/>
        <v>3.8773688347899586</v>
      </c>
      <c r="K374">
        <f t="shared" si="50"/>
        <v>1.4203186641384207</v>
      </c>
    </row>
    <row r="375" spans="1:11" x14ac:dyDescent="0.25">
      <c r="A375">
        <v>3</v>
      </c>
      <c r="C375">
        <f t="shared" si="46"/>
        <v>1.8459827890008818</v>
      </c>
      <c r="D375">
        <f t="shared" si="47"/>
        <v>4.1964637510166316</v>
      </c>
      <c r="E375">
        <f t="shared" si="48"/>
        <v>1.2187155957844271</v>
      </c>
      <c r="F375" t="e">
        <f>NA()</f>
        <v>#N/A</v>
      </c>
      <c r="G375" t="e">
        <f>NA()</f>
        <v>#N/A</v>
      </c>
      <c r="H375" t="e">
        <f>NA()</f>
        <v>#N/A</v>
      </c>
      <c r="I375" t="e">
        <f>NA()</f>
        <v>#N/A</v>
      </c>
      <c r="J375">
        <f t="shared" si="49"/>
        <v>4.1964637510166316</v>
      </c>
      <c r="K375">
        <f t="shared" si="50"/>
        <v>1.2187155957844271</v>
      </c>
    </row>
    <row r="376" spans="1:11" x14ac:dyDescent="0.25">
      <c r="A376">
        <v>4</v>
      </c>
      <c r="C376">
        <f t="shared" si="46"/>
        <v>1.9438926622281145</v>
      </c>
      <c r="D376">
        <f t="shared" si="47"/>
        <v>4.4671515623302858</v>
      </c>
      <c r="E376">
        <f t="shared" si="48"/>
        <v>1.0655196323434524</v>
      </c>
      <c r="F376" t="e">
        <f>NA()</f>
        <v>#N/A</v>
      </c>
      <c r="G376" t="e">
        <f>NA()</f>
        <v>#N/A</v>
      </c>
      <c r="H376" t="e">
        <f>NA()</f>
        <v>#N/A</v>
      </c>
      <c r="I376" t="e">
        <f>NA()</f>
        <v>#N/A</v>
      </c>
      <c r="J376">
        <f t="shared" si="49"/>
        <v>4.4671515623302858</v>
      </c>
      <c r="K376">
        <f t="shared" si="50"/>
        <v>1.0655196323434524</v>
      </c>
    </row>
    <row r="377" spans="1:11" x14ac:dyDescent="0.25">
      <c r="A377">
        <v>5</v>
      </c>
      <c r="C377">
        <f t="shared" si="46"/>
        <v>2.0418025354553473</v>
      </c>
      <c r="D377">
        <f t="shared" si="47"/>
        <v>4.7058687683090215</v>
      </c>
      <c r="E377">
        <f t="shared" si="48"/>
        <v>0.94429427423739565</v>
      </c>
      <c r="F377" t="e">
        <f>NA()</f>
        <v>#N/A</v>
      </c>
      <c r="G377" t="e">
        <f>NA()</f>
        <v>#N/A</v>
      </c>
      <c r="H377" t="e">
        <f>NA()</f>
        <v>#N/A</v>
      </c>
      <c r="I377" t="e">
        <f>NA()</f>
        <v>#N/A</v>
      </c>
      <c r="J377">
        <f t="shared" si="49"/>
        <v>4.7058687683090215</v>
      </c>
      <c r="K377">
        <f t="shared" si="50"/>
        <v>0.94429427423739565</v>
      </c>
    </row>
    <row r="378" spans="1:11" x14ac:dyDescent="0.25">
      <c r="A378">
        <v>6</v>
      </c>
      <c r="C378">
        <f t="shared" si="46"/>
        <v>2.1397124086825796</v>
      </c>
      <c r="D378">
        <f t="shared" si="47"/>
        <v>4.921105821992013</v>
      </c>
      <c r="E378">
        <f t="shared" si="48"/>
        <v>0.84654906842708355</v>
      </c>
      <c r="F378" t="e">
        <f>NA()</f>
        <v>#N/A</v>
      </c>
      <c r="G378" t="e">
        <f>NA()</f>
        <v>#N/A</v>
      </c>
      <c r="H378" t="e">
        <f>NA()</f>
        <v>#N/A</v>
      </c>
      <c r="I378" t="e">
        <f>NA()</f>
        <v>#N/A</v>
      </c>
      <c r="J378">
        <f t="shared" si="49"/>
        <v>4.921105821992013</v>
      </c>
      <c r="K378">
        <f t="shared" si="50"/>
        <v>0.84654906842708355</v>
      </c>
    </row>
    <row r="379" spans="1:11" x14ac:dyDescent="0.25">
      <c r="A379">
        <v>7</v>
      </c>
      <c r="C379">
        <f t="shared" si="46"/>
        <v>2.2376222819098124</v>
      </c>
      <c r="D379">
        <f t="shared" si="47"/>
        <v>5.1179359813223071</v>
      </c>
      <c r="E379">
        <f t="shared" si="48"/>
        <v>0.76721075696946794</v>
      </c>
      <c r="F379" t="e">
        <f>NA()</f>
        <v>#N/A</v>
      </c>
      <c r="G379" t="e">
        <f>NA()</f>
        <v>#N/A</v>
      </c>
      <c r="H379" t="e">
        <f>NA()</f>
        <v>#N/A</v>
      </c>
      <c r="I379" t="e">
        <f>NA()</f>
        <v>#N/A</v>
      </c>
      <c r="J379">
        <f t="shared" si="49"/>
        <v>5.1179359813223071</v>
      </c>
      <c r="K379">
        <f t="shared" si="50"/>
        <v>0.76721075696946794</v>
      </c>
    </row>
    <row r="380" spans="1:11" x14ac:dyDescent="0.25">
      <c r="A380">
        <v>8</v>
      </c>
      <c r="C380">
        <f t="shared" si="46"/>
        <v>2.3355321551370452</v>
      </c>
      <c r="D380">
        <f t="shared" si="47"/>
        <v>5.2996792732553537</v>
      </c>
      <c r="E380">
        <f t="shared" si="48"/>
        <v>0.70295931290910119</v>
      </c>
      <c r="F380" t="e">
        <f>NA()</f>
        <v>#N/A</v>
      </c>
      <c r="G380" t="e">
        <f>NA()</f>
        <v>#N/A</v>
      </c>
      <c r="H380" t="e">
        <f>NA()</f>
        <v>#N/A</v>
      </c>
      <c r="I380" t="e">
        <f>NA()</f>
        <v>#N/A</v>
      </c>
      <c r="J380">
        <f t="shared" si="49"/>
        <v>5.2996792732553537</v>
      </c>
      <c r="K380">
        <f t="shared" si="50"/>
        <v>0.70295931290910119</v>
      </c>
    </row>
    <row r="381" spans="1:11" x14ac:dyDescent="0.25">
      <c r="A381">
        <v>9</v>
      </c>
      <c r="C381">
        <f t="shared" si="46"/>
        <v>2.4334420283642775</v>
      </c>
      <c r="D381">
        <f t="shared" si="47"/>
        <v>5.4686480984084902</v>
      </c>
      <c r="E381">
        <f t="shared" si="48"/>
        <v>0.65148233562864322</v>
      </c>
      <c r="F381" t="e">
        <f>NA()</f>
        <v>#N/A</v>
      </c>
      <c r="G381" t="e">
        <f>NA()</f>
        <v>#N/A</v>
      </c>
      <c r="H381" t="e">
        <f>NA()</f>
        <v>#N/A</v>
      </c>
      <c r="I381" t="e">
        <f>NA()</f>
        <v>#N/A</v>
      </c>
      <c r="J381">
        <f t="shared" si="49"/>
        <v>5.4686480984084902</v>
      </c>
      <c r="K381">
        <f t="shared" si="50"/>
        <v>0.65148233562864322</v>
      </c>
    </row>
    <row r="382" spans="1:11" x14ac:dyDescent="0.25">
      <c r="A382">
        <v>10</v>
      </c>
      <c r="C382">
        <f t="shared" si="46"/>
        <v>2.5313519015915102</v>
      </c>
      <c r="D382">
        <f t="shared" si="47"/>
        <v>5.62652747033599</v>
      </c>
      <c r="E382">
        <f t="shared" si="48"/>
        <v>0.61109481157382239</v>
      </c>
      <c r="F382" t="e">
        <f>NA()</f>
        <v>#N/A</v>
      </c>
      <c r="G382" t="e">
        <f>NA()</f>
        <v>#N/A</v>
      </c>
      <c r="H382" t="e">
        <f>NA()</f>
        <v>#N/A</v>
      </c>
      <c r="I382" t="e">
        <f>NA()</f>
        <v>#N/A</v>
      </c>
      <c r="J382">
        <f t="shared" si="49"/>
        <v>5.62652747033599</v>
      </c>
      <c r="K382">
        <f t="shared" si="50"/>
        <v>0.61109481157382239</v>
      </c>
    </row>
    <row r="383" spans="1:11" x14ac:dyDescent="0.25">
      <c r="A383">
        <v>11</v>
      </c>
      <c r="C383">
        <f t="shared" si="46"/>
        <v>2.629261774818743</v>
      </c>
      <c r="D383">
        <f t="shared" si="47"/>
        <v>5.7745876143498513</v>
      </c>
      <c r="E383">
        <f t="shared" si="48"/>
        <v>0.58052651543264044</v>
      </c>
      <c r="F383" t="e">
        <f>NA()</f>
        <v>#N/A</v>
      </c>
      <c r="G383" t="e">
        <f>NA()</f>
        <v>#N/A</v>
      </c>
      <c r="H383" t="e">
        <f>NA()</f>
        <v>#N/A</v>
      </c>
      <c r="I383" t="e">
        <f>NA()</f>
        <v>#N/A</v>
      </c>
      <c r="J383">
        <f t="shared" si="49"/>
        <v>5.7745876143498513</v>
      </c>
      <c r="K383">
        <f t="shared" si="50"/>
        <v>0.58052651543264044</v>
      </c>
    </row>
    <row r="384" spans="1:11" x14ac:dyDescent="0.25">
      <c r="A384">
        <v>12</v>
      </c>
      <c r="C384">
        <f t="shared" si="46"/>
        <v>2.7271716480459753</v>
      </c>
      <c r="D384">
        <f t="shared" si="47"/>
        <v>5.9138113370974414</v>
      </c>
      <c r="E384">
        <f t="shared" si="48"/>
        <v>0.55879464055772932</v>
      </c>
      <c r="F384" t="e">
        <f>NA()</f>
        <v>#N/A</v>
      </c>
      <c r="G384" t="e">
        <f>NA()</f>
        <v>#N/A</v>
      </c>
      <c r="H384" t="e">
        <f>NA()</f>
        <v>#N/A</v>
      </c>
      <c r="I384" t="e">
        <f>NA()</f>
        <v>#N/A</v>
      </c>
      <c r="J384">
        <f t="shared" si="49"/>
        <v>5.9138113370974414</v>
      </c>
      <c r="K384">
        <f t="shared" si="50"/>
        <v>0.55879464055772932</v>
      </c>
    </row>
    <row r="385" spans="1:11" x14ac:dyDescent="0.25">
      <c r="A385">
        <v>13</v>
      </c>
      <c r="C385">
        <f t="shared" si="46"/>
        <v>2.8250815212732086</v>
      </c>
      <c r="D385">
        <f t="shared" si="47"/>
        <v>6.0449745534576982</v>
      </c>
      <c r="E385">
        <f t="shared" si="48"/>
        <v>0.54512327207015243</v>
      </c>
      <c r="F385" t="e">
        <f>NA()</f>
        <v>#N/A</v>
      </c>
      <c r="G385" t="e">
        <f>NA()</f>
        <v>#N/A</v>
      </c>
      <c r="H385" t="e">
        <f>NA()</f>
        <v>#N/A</v>
      </c>
      <c r="I385" t="e">
        <f>NA()</f>
        <v>#N/A</v>
      </c>
      <c r="J385">
        <f t="shared" si="49"/>
        <v>6.0449745534576982</v>
      </c>
      <c r="K385">
        <f t="shared" si="50"/>
        <v>0.54512327207015243</v>
      </c>
    </row>
    <row r="386" spans="1:11" x14ac:dyDescent="0.25">
      <c r="A386">
        <v>14</v>
      </c>
      <c r="C386">
        <f t="shared" si="46"/>
        <v>2.9229913945004409</v>
      </c>
      <c r="D386">
        <f t="shared" si="47"/>
        <v>6.1686994350289748</v>
      </c>
      <c r="E386">
        <f t="shared" si="48"/>
        <v>0.53889023837155481</v>
      </c>
      <c r="F386" t="e">
        <f>NA()</f>
        <v>#N/A</v>
      </c>
      <c r="G386" t="e">
        <f>NA()</f>
        <v>#N/A</v>
      </c>
      <c r="H386" t="e">
        <f>NA()</f>
        <v>#N/A</v>
      </c>
      <c r="I386" t="e">
        <f>NA()</f>
        <v>#N/A</v>
      </c>
      <c r="J386">
        <f t="shared" si="49"/>
        <v>6.1686994350289748</v>
      </c>
      <c r="K386">
        <f t="shared" si="50"/>
        <v>0.53889023837155481</v>
      </c>
    </row>
    <row r="387" spans="1:11" x14ac:dyDescent="0.25">
      <c r="A387">
        <v>15</v>
      </c>
      <c r="C387">
        <f t="shared" si="46"/>
        <v>3.0209012677276736</v>
      </c>
      <c r="D387">
        <f t="shared" si="47"/>
        <v>6.2854907358530117</v>
      </c>
      <c r="E387">
        <f t="shared" si="48"/>
        <v>0.53959078542019689</v>
      </c>
      <c r="F387" t="e">
        <f>NA()</f>
        <v>#N/A</v>
      </c>
      <c r="G387" t="e">
        <f>NA()</f>
        <v>#N/A</v>
      </c>
      <c r="H387" t="e">
        <f>NA()</f>
        <v>#N/A</v>
      </c>
      <c r="I387" t="e">
        <f>NA()</f>
        <v>#N/A</v>
      </c>
      <c r="J387">
        <f t="shared" si="49"/>
        <v>6.2854907358530117</v>
      </c>
      <c r="K387">
        <f t="shared" si="50"/>
        <v>0.53959078542019689</v>
      </c>
    </row>
    <row r="388" spans="1:11" x14ac:dyDescent="0.25">
      <c r="A388">
        <v>16</v>
      </c>
      <c r="C388">
        <f t="shared" si="46"/>
        <v>3.1188111409549064</v>
      </c>
      <c r="D388">
        <f t="shared" si="47"/>
        <v>6.395761341080771</v>
      </c>
      <c r="E388">
        <f t="shared" si="48"/>
        <v>0.54681202806511697</v>
      </c>
      <c r="F388" t="e">
        <f>NA()</f>
        <v>#N/A</v>
      </c>
      <c r="G388" t="e">
        <f>NA()</f>
        <v>#N/A</v>
      </c>
      <c r="H388" t="e">
        <f>NA()</f>
        <v>#N/A</v>
      </c>
      <c r="I388" t="e">
        <f>NA()</f>
        <v>#N/A</v>
      </c>
      <c r="J388">
        <f t="shared" si="49"/>
        <v>6.395761341080771</v>
      </c>
      <c r="K388">
        <f t="shared" si="50"/>
        <v>0.54681202806511697</v>
      </c>
    </row>
    <row r="389" spans="1:11" x14ac:dyDescent="0.25">
      <c r="A389">
        <v>17</v>
      </c>
      <c r="C389">
        <f t="shared" si="46"/>
        <v>3.2167210141821387</v>
      </c>
      <c r="D389">
        <f t="shared" si="47"/>
        <v>6.4998506613660512</v>
      </c>
      <c r="E389">
        <f t="shared" si="48"/>
        <v>0.56021455565251532</v>
      </c>
      <c r="F389" t="e">
        <f>NA()</f>
        <v>#N/A</v>
      </c>
      <c r="G389" t="e">
        <f>NA()</f>
        <v>#N/A</v>
      </c>
      <c r="H389" t="e">
        <f>NA()</f>
        <v>#N/A</v>
      </c>
      <c r="I389" t="e">
        <f>NA()</f>
        <v>#N/A</v>
      </c>
      <c r="J389">
        <f t="shared" si="49"/>
        <v>6.4998506613660512</v>
      </c>
      <c r="K389">
        <f t="shared" si="50"/>
        <v>0.56021455565251532</v>
      </c>
    </row>
    <row r="390" spans="1:11" x14ac:dyDescent="0.25">
      <c r="A390">
        <v>18</v>
      </c>
      <c r="C390">
        <f t="shared" si="46"/>
        <v>3.3146308874093715</v>
      </c>
      <c r="D390">
        <f t="shared" si="47"/>
        <v>6.5980381277029245</v>
      </c>
      <c r="E390">
        <f t="shared" si="48"/>
        <v>0.57951893718832226</v>
      </c>
      <c r="F390" t="e">
        <f>NA()</f>
        <v>#N/A</v>
      </c>
      <c r="G390" t="e">
        <f>NA()</f>
        <v>#N/A</v>
      </c>
      <c r="H390" t="e">
        <f>NA()</f>
        <v>#N/A</v>
      </c>
      <c r="I390" t="e">
        <f>NA()</f>
        <v>#N/A</v>
      </c>
      <c r="J390">
        <f t="shared" si="49"/>
        <v>6.5980381277029245</v>
      </c>
      <c r="K390">
        <f t="shared" si="50"/>
        <v>0.57951893718832226</v>
      </c>
    </row>
    <row r="391" spans="1:11" x14ac:dyDescent="0.25">
      <c r="A391">
        <v>19</v>
      </c>
      <c r="C391">
        <f t="shared" si="46"/>
        <v>3.4125407606366043</v>
      </c>
      <c r="D391">
        <f t="shared" si="47"/>
        <v>6.6905532354570276</v>
      </c>
      <c r="E391">
        <f t="shared" si="48"/>
        <v>0.60449567730689724</v>
      </c>
      <c r="F391" t="e">
        <f>NA()</f>
        <v>#N/A</v>
      </c>
      <c r="G391" t="e">
        <f>NA()</f>
        <v>#N/A</v>
      </c>
      <c r="H391" t="e">
        <f>NA()</f>
        <v>#N/A</v>
      </c>
      <c r="I391" t="e">
        <f>NA()</f>
        <v>#N/A</v>
      </c>
      <c r="J391">
        <f t="shared" si="49"/>
        <v>6.6905532354570276</v>
      </c>
      <c r="K391">
        <f t="shared" si="50"/>
        <v>0.60449567730689724</v>
      </c>
    </row>
    <row r="392" spans="1:11" x14ac:dyDescent="0.25">
      <c r="A392">
        <v>20</v>
      </c>
      <c r="C392">
        <f t="shared" si="46"/>
        <v>3.5104506338638366</v>
      </c>
      <c r="D392">
        <f t="shared" si="47"/>
        <v>6.7775830936327264</v>
      </c>
      <c r="E392">
        <f t="shared" si="48"/>
        <v>0.63495766700387835</v>
      </c>
      <c r="F392" t="e">
        <f>NA()</f>
        <v>#N/A</v>
      </c>
      <c r="G392" t="e">
        <f>NA()</f>
        <v>#N/A</v>
      </c>
      <c r="H392" t="e">
        <f>NA()</f>
        <v>#N/A</v>
      </c>
      <c r="I392" t="e">
        <f>NA()</f>
        <v>#N/A</v>
      </c>
      <c r="J392">
        <f t="shared" si="49"/>
        <v>6.7775830936327264</v>
      </c>
      <c r="K392">
        <f t="shared" si="50"/>
        <v>0.63495766700387835</v>
      </c>
    </row>
    <row r="393" spans="1:11" x14ac:dyDescent="0.25">
      <c r="A393">
        <v>21</v>
      </c>
      <c r="C393">
        <f t="shared" si="46"/>
        <v>3.6083605070910694</v>
      </c>
      <c r="D393">
        <f t="shared" si="47"/>
        <v>6.8592781240933096</v>
      </c>
      <c r="E393">
        <f t="shared" si="48"/>
        <v>0.67075448441597318</v>
      </c>
      <c r="F393" t="e">
        <f>NA()</f>
        <v>#N/A</v>
      </c>
      <c r="G393" t="e">
        <f>NA()</f>
        <v>#N/A</v>
      </c>
      <c r="H393" t="e">
        <f>NA()</f>
        <v>#N/A</v>
      </c>
      <c r="I393" t="e">
        <f>NA()</f>
        <v>#N/A</v>
      </c>
      <c r="J393">
        <f t="shared" si="49"/>
        <v>6.8592781240933096</v>
      </c>
      <c r="K393">
        <f t="shared" si="50"/>
        <v>0.67075448441597318</v>
      </c>
    </row>
    <row r="394" spans="1:11" x14ac:dyDescent="0.25">
      <c r="A394">
        <v>22</v>
      </c>
      <c r="C394">
        <f t="shared" si="46"/>
        <v>3.7062703803183021</v>
      </c>
      <c r="D394">
        <f t="shared" si="47"/>
        <v>6.935756352625118</v>
      </c>
      <c r="E394">
        <f t="shared" si="48"/>
        <v>0.71176810375684507</v>
      </c>
      <c r="F394" t="e">
        <f>NA()</f>
        <v>#N/A</v>
      </c>
      <c r="G394" t="e">
        <f>NA()</f>
        <v>#N/A</v>
      </c>
      <c r="H394" t="e">
        <f>NA()</f>
        <v>#N/A</v>
      </c>
      <c r="I394" t="e">
        <f>NA()</f>
        <v>#N/A</v>
      </c>
      <c r="J394">
        <f t="shared" si="49"/>
        <v>6.935756352625118</v>
      </c>
      <c r="K394">
        <f t="shared" si="50"/>
        <v>0.71176810375684507</v>
      </c>
    </row>
    <row r="395" spans="1:11" x14ac:dyDescent="0.25">
      <c r="A395">
        <v>23</v>
      </c>
      <c r="C395">
        <f t="shared" si="46"/>
        <v>3.8041802535455349</v>
      </c>
      <c r="D395">
        <f t="shared" si="47"/>
        <v>7.0071065975872564</v>
      </c>
      <c r="E395">
        <f t="shared" si="48"/>
        <v>0.75790970666738522</v>
      </c>
      <c r="F395" t="e">
        <f>NA()</f>
        <v>#N/A</v>
      </c>
      <c r="G395" t="e">
        <f>NA()</f>
        <v>#N/A</v>
      </c>
      <c r="H395" t="e">
        <f>NA()</f>
        <v>#N/A</v>
      </c>
      <c r="I395" t="e">
        <f>NA()</f>
        <v>#N/A</v>
      </c>
      <c r="J395">
        <f t="shared" si="49"/>
        <v>7.0071065975872564</v>
      </c>
      <c r="K395">
        <f t="shared" si="50"/>
        <v>0.75790970666738522</v>
      </c>
    </row>
    <row r="396" spans="1:11" x14ac:dyDescent="0.25">
      <c r="A396">
        <v>24</v>
      </c>
      <c r="C396">
        <f t="shared" si="46"/>
        <v>3.9020901267727672</v>
      </c>
      <c r="D396">
        <f t="shared" si="47"/>
        <v>7.0733907675708299</v>
      </c>
      <c r="E396">
        <f t="shared" si="48"/>
        <v>0.80911738455649074</v>
      </c>
      <c r="F396" t="e">
        <f>NA()</f>
        <v>#N/A</v>
      </c>
      <c r="G396" t="e">
        <f>NA()</f>
        <v>#N/A</v>
      </c>
      <c r="H396" t="e">
        <f>NA()</f>
        <v>#N/A</v>
      </c>
      <c r="I396" t="e">
        <f>NA()</f>
        <v>#N/A</v>
      </c>
      <c r="J396">
        <f t="shared" si="49"/>
        <v>7.0733907675708299</v>
      </c>
      <c r="K396">
        <f t="shared" si="50"/>
        <v>0.80911738455649074</v>
      </c>
    </row>
    <row r="397" spans="1:11" x14ac:dyDescent="0.25">
      <c r="A397">
        <v>25</v>
      </c>
      <c r="C397">
        <f t="shared" si="46"/>
        <v>4</v>
      </c>
      <c r="D397">
        <f t="shared" si="47"/>
        <v>7.1346454117263551</v>
      </c>
      <c r="E397">
        <f t="shared" si="48"/>
        <v>0.86535458827364486</v>
      </c>
      <c r="F397" t="e">
        <f>NA()</f>
        <v>#N/A</v>
      </c>
      <c r="G397" t="e">
        <f>NA()</f>
        <v>#N/A</v>
      </c>
      <c r="H397" t="e">
        <f>NA()</f>
        <v>#N/A</v>
      </c>
      <c r="I397" t="e">
        <f>NA()</f>
        <v>#N/A</v>
      </c>
      <c r="J397">
        <f t="shared" si="49"/>
        <v>7.1346454117263551</v>
      </c>
      <c r="K397">
        <f t="shared" si="50"/>
        <v>0.86535458827364486</v>
      </c>
    </row>
    <row r="398" spans="1:11" x14ac:dyDescent="0.25">
      <c r="A398">
        <v>26</v>
      </c>
      <c r="C398">
        <f t="shared" si="46"/>
        <v>4.0979098732272323</v>
      </c>
      <c r="D398">
        <f t="shared" si="47"/>
        <v>7.1908826154435097</v>
      </c>
      <c r="E398">
        <f t="shared" si="48"/>
        <v>0.9266092324291697</v>
      </c>
      <c r="F398" t="e">
        <f>NA()</f>
        <v>#N/A</v>
      </c>
      <c r="G398" t="e">
        <f>NA()</f>
        <v>#N/A</v>
      </c>
      <c r="H398" t="e">
        <f>NA()</f>
        <v>#N/A</v>
      </c>
      <c r="I398" t="e">
        <f>NA()</f>
        <v>#N/A</v>
      </c>
      <c r="J398">
        <f t="shared" si="49"/>
        <v>7.1908826154435097</v>
      </c>
      <c r="K398">
        <f t="shared" si="50"/>
        <v>0.9266092324291697</v>
      </c>
    </row>
    <row r="399" spans="1:11" x14ac:dyDescent="0.25">
      <c r="A399">
        <v>27</v>
      </c>
      <c r="C399">
        <f t="shared" si="46"/>
        <v>4.1958197464544646</v>
      </c>
      <c r="D399">
        <f t="shared" si="47"/>
        <v>7.2420902933326143</v>
      </c>
      <c r="E399">
        <f t="shared" si="48"/>
        <v>0.99289340241274315</v>
      </c>
      <c r="F399" t="e">
        <f>NA()</f>
        <v>#N/A</v>
      </c>
      <c r="G399" t="e">
        <f>NA()</f>
        <v>#N/A</v>
      </c>
      <c r="H399" t="e">
        <f>NA()</f>
        <v>#N/A</v>
      </c>
      <c r="I399" t="e">
        <f>NA()</f>
        <v>#N/A</v>
      </c>
      <c r="J399">
        <f t="shared" si="49"/>
        <v>7.2420902933326143</v>
      </c>
      <c r="K399">
        <f t="shared" si="50"/>
        <v>0.99289340241274315</v>
      </c>
    </row>
    <row r="400" spans="1:11" x14ac:dyDescent="0.25">
      <c r="A400">
        <v>28</v>
      </c>
      <c r="C400">
        <f t="shared" si="46"/>
        <v>4.2937296196816979</v>
      </c>
      <c r="D400">
        <f t="shared" si="47"/>
        <v>7.2882318962431549</v>
      </c>
      <c r="E400">
        <f t="shared" si="48"/>
        <v>1.064243647374882</v>
      </c>
      <c r="F400" t="e">
        <f>NA()</f>
        <v>#N/A</v>
      </c>
      <c r="G400" t="e">
        <f>NA()</f>
        <v>#N/A</v>
      </c>
      <c r="H400" t="e">
        <f>NA()</f>
        <v>#N/A</v>
      </c>
      <c r="I400" t="e">
        <f>NA()</f>
        <v>#N/A</v>
      </c>
      <c r="J400">
        <f t="shared" si="49"/>
        <v>7.2882318962431549</v>
      </c>
      <c r="K400">
        <f t="shared" si="50"/>
        <v>1.064243647374882</v>
      </c>
    </row>
    <row r="401" spans="1:11" x14ac:dyDescent="0.25">
      <c r="A401">
        <v>29</v>
      </c>
      <c r="C401">
        <f t="shared" si="46"/>
        <v>4.3916394929089302</v>
      </c>
      <c r="D401">
        <f t="shared" si="47"/>
        <v>7.3292455155840264</v>
      </c>
      <c r="E401">
        <f t="shared" si="48"/>
        <v>1.1407218759066895</v>
      </c>
      <c r="F401" t="e">
        <f>NA()</f>
        <v>#N/A</v>
      </c>
      <c r="G401" t="e">
        <f>NA()</f>
        <v>#N/A</v>
      </c>
      <c r="H401" t="e">
        <f>NA()</f>
        <v>#N/A</v>
      </c>
      <c r="I401" t="e">
        <f>NA()</f>
        <v>#N/A</v>
      </c>
      <c r="J401">
        <f t="shared" si="49"/>
        <v>7.3292455155840264</v>
      </c>
      <c r="K401">
        <f t="shared" si="50"/>
        <v>1.1407218759066895</v>
      </c>
    </row>
    <row r="402" spans="1:11" x14ac:dyDescent="0.25">
      <c r="A402">
        <v>30</v>
      </c>
      <c r="C402">
        <f t="shared" si="46"/>
        <v>4.4895493661361634</v>
      </c>
      <c r="D402">
        <f t="shared" si="47"/>
        <v>7.3650423329961221</v>
      </c>
      <c r="E402">
        <f t="shared" si="48"/>
        <v>1.2224169063672741</v>
      </c>
      <c r="F402" t="e">
        <f>NA()</f>
        <v>#N/A</v>
      </c>
      <c r="G402" t="e">
        <f>NA()</f>
        <v>#N/A</v>
      </c>
      <c r="H402" t="e">
        <f>NA()</f>
        <v>#N/A</v>
      </c>
      <c r="I402" t="e">
        <f>NA()</f>
        <v>#N/A</v>
      </c>
      <c r="J402">
        <f t="shared" si="49"/>
        <v>7.3650423329961221</v>
      </c>
      <c r="K402">
        <f t="shared" si="50"/>
        <v>1.2224169063672741</v>
      </c>
    </row>
    <row r="403" spans="1:11" x14ac:dyDescent="0.25">
      <c r="A403">
        <v>31</v>
      </c>
      <c r="C403">
        <f t="shared" si="46"/>
        <v>4.5874592393633957</v>
      </c>
      <c r="D403">
        <f t="shared" si="47"/>
        <v>7.3955043226931032</v>
      </c>
      <c r="E403">
        <f t="shared" si="48"/>
        <v>1.3094467645429728</v>
      </c>
      <c r="F403" t="e">
        <f>NA()</f>
        <v>#N/A</v>
      </c>
      <c r="G403" t="e">
        <f>NA()</f>
        <v>#N/A</v>
      </c>
      <c r="H403" t="e">
        <f>NA()</f>
        <v>#N/A</v>
      </c>
      <c r="I403" t="e">
        <f>NA()</f>
        <v>#N/A</v>
      </c>
      <c r="J403">
        <f t="shared" si="49"/>
        <v>7.3955043226931032</v>
      </c>
      <c r="K403">
        <f t="shared" si="50"/>
        <v>1.3094467645429728</v>
      </c>
    </row>
    <row r="404" spans="1:11" x14ac:dyDescent="0.25">
      <c r="A404">
        <v>32</v>
      </c>
      <c r="C404">
        <f t="shared" ref="C404:C422" si="51">R57+$D$14</f>
        <v>4.685369112590628</v>
      </c>
      <c r="D404">
        <f t="shared" ref="D404:D422" si="52">S57+$D$15</f>
        <v>7.4204810628116782</v>
      </c>
      <c r="E404">
        <f t="shared" ref="E404:E422" si="53">T57+$D$15</f>
        <v>1.4019618722970759</v>
      </c>
      <c r="F404" t="e">
        <f>NA()</f>
        <v>#N/A</v>
      </c>
      <c r="G404" t="e">
        <f>NA()</f>
        <v>#N/A</v>
      </c>
      <c r="H404" t="e">
        <f>NA()</f>
        <v>#N/A</v>
      </c>
      <c r="I404" t="e">
        <f>NA()</f>
        <v>#N/A</v>
      </c>
      <c r="J404">
        <f t="shared" ref="J404:J422" si="54">D404</f>
        <v>7.4204810628116782</v>
      </c>
      <c r="K404">
        <f t="shared" ref="K404:K422" si="55">E404</f>
        <v>1.4019618722970759</v>
      </c>
    </row>
    <row r="405" spans="1:11" x14ac:dyDescent="0.25">
      <c r="A405">
        <v>33</v>
      </c>
      <c r="C405">
        <f t="shared" si="51"/>
        <v>4.7832789858178613</v>
      </c>
      <c r="D405">
        <f t="shared" si="52"/>
        <v>7.4397854443474847</v>
      </c>
      <c r="E405">
        <f t="shared" si="53"/>
        <v>1.5001493386339488</v>
      </c>
      <c r="F405" t="e">
        <f>NA()</f>
        <v>#N/A</v>
      </c>
      <c r="G405" t="e">
        <f>NA()</f>
        <v>#N/A</v>
      </c>
      <c r="H405" t="e">
        <f>NA()</f>
        <v>#N/A</v>
      </c>
      <c r="I405" t="e">
        <f>NA()</f>
        <v>#N/A</v>
      </c>
      <c r="J405">
        <f t="shared" si="54"/>
        <v>7.4397854443474847</v>
      </c>
      <c r="K405">
        <f t="shared" si="55"/>
        <v>1.5001493386339488</v>
      </c>
    </row>
    <row r="406" spans="1:11" x14ac:dyDescent="0.25">
      <c r="A406">
        <v>34</v>
      </c>
      <c r="C406">
        <f t="shared" si="51"/>
        <v>4.8811888590450936</v>
      </c>
      <c r="D406">
        <f t="shared" si="52"/>
        <v>7.4531879719348826</v>
      </c>
      <c r="E406">
        <f t="shared" si="53"/>
        <v>1.604238658919229</v>
      </c>
      <c r="F406" t="e">
        <f>NA()</f>
        <v>#N/A</v>
      </c>
      <c r="G406" t="e">
        <f>NA()</f>
        <v>#N/A</v>
      </c>
      <c r="H406" t="e">
        <f>NA()</f>
        <v>#N/A</v>
      </c>
      <c r="I406" t="e">
        <f>NA()</f>
        <v>#N/A</v>
      </c>
      <c r="J406">
        <f t="shared" si="54"/>
        <v>7.4531879719348826</v>
      </c>
      <c r="K406">
        <f t="shared" si="55"/>
        <v>1.604238658919229</v>
      </c>
    </row>
    <row r="407" spans="1:11" x14ac:dyDescent="0.25">
      <c r="A407">
        <v>35</v>
      </c>
      <c r="C407">
        <f t="shared" si="51"/>
        <v>4.9790987322723268</v>
      </c>
      <c r="D407">
        <f t="shared" si="52"/>
        <v>7.4604092145798031</v>
      </c>
      <c r="E407">
        <f t="shared" si="53"/>
        <v>1.7145092641469892</v>
      </c>
      <c r="F407" t="e">
        <f>NA()</f>
        <v>#N/A</v>
      </c>
      <c r="G407" t="e">
        <f>NA()</f>
        <v>#N/A</v>
      </c>
      <c r="H407" t="e">
        <f>NA()</f>
        <v>#N/A</v>
      </c>
      <c r="I407" t="e">
        <f>NA()</f>
        <v>#N/A</v>
      </c>
      <c r="J407">
        <f t="shared" si="54"/>
        <v>7.4604092145798031</v>
      </c>
      <c r="K407">
        <f t="shared" si="55"/>
        <v>1.7145092641469892</v>
      </c>
    </row>
    <row r="408" spans="1:11" x14ac:dyDescent="0.25">
      <c r="A408">
        <v>36</v>
      </c>
      <c r="C408">
        <f t="shared" si="51"/>
        <v>5.0770086054995591</v>
      </c>
      <c r="D408">
        <f t="shared" si="52"/>
        <v>7.4611097616284452</v>
      </c>
      <c r="E408">
        <f t="shared" si="53"/>
        <v>1.8313005649710252</v>
      </c>
      <c r="F408" t="e">
        <f>NA()</f>
        <v>#N/A</v>
      </c>
      <c r="G408" t="e">
        <f>NA()</f>
        <v>#N/A</v>
      </c>
      <c r="H408" t="e">
        <f>NA()</f>
        <v>#N/A</v>
      </c>
      <c r="I408" t="e">
        <f>NA()</f>
        <v>#N/A</v>
      </c>
      <c r="J408">
        <f t="shared" si="54"/>
        <v>7.4611097616284452</v>
      </c>
      <c r="K408">
        <f t="shared" si="55"/>
        <v>1.8313005649710252</v>
      </c>
    </row>
    <row r="409" spans="1:11" x14ac:dyDescent="0.25">
      <c r="A409">
        <v>37</v>
      </c>
      <c r="C409">
        <f t="shared" si="51"/>
        <v>5.1749184787267914</v>
      </c>
      <c r="D409">
        <f t="shared" si="52"/>
        <v>7.4548767279298485</v>
      </c>
      <c r="E409">
        <f t="shared" si="53"/>
        <v>1.9550254465423023</v>
      </c>
      <c r="F409" t="e">
        <f>NA()</f>
        <v>#N/A</v>
      </c>
      <c r="G409" t="e">
        <f>NA()</f>
        <v>#N/A</v>
      </c>
      <c r="H409" t="e">
        <f>NA()</f>
        <v>#N/A</v>
      </c>
      <c r="I409" t="e">
        <f>NA()</f>
        <v>#N/A</v>
      </c>
      <c r="J409">
        <f t="shared" si="54"/>
        <v>7.4548767279298485</v>
      </c>
      <c r="K409">
        <f t="shared" si="55"/>
        <v>1.9550254465423023</v>
      </c>
    </row>
    <row r="410" spans="1:11" x14ac:dyDescent="0.25">
      <c r="A410">
        <v>38</v>
      </c>
      <c r="C410">
        <f t="shared" si="51"/>
        <v>5.2728283519540238</v>
      </c>
      <c r="D410">
        <f t="shared" si="52"/>
        <v>7.4412053594422707</v>
      </c>
      <c r="E410">
        <f t="shared" si="53"/>
        <v>2.0861886629025586</v>
      </c>
      <c r="F410" t="e">
        <f>NA()</f>
        <v>#N/A</v>
      </c>
      <c r="G410" t="e">
        <f>NA()</f>
        <v>#N/A</v>
      </c>
      <c r="H410" t="e">
        <f>NA()</f>
        <v>#N/A</v>
      </c>
      <c r="I410" t="e">
        <f>NA()</f>
        <v>#N/A</v>
      </c>
      <c r="J410">
        <f t="shared" si="54"/>
        <v>7.4412053594422707</v>
      </c>
      <c r="K410">
        <f t="shared" si="55"/>
        <v>2.0861886629025586</v>
      </c>
    </row>
    <row r="411" spans="1:11" x14ac:dyDescent="0.25">
      <c r="A411">
        <v>39</v>
      </c>
      <c r="C411">
        <f t="shared" si="51"/>
        <v>5.370738225181257</v>
      </c>
      <c r="D411">
        <f t="shared" si="52"/>
        <v>7.4194734845673596</v>
      </c>
      <c r="E411">
        <f t="shared" si="53"/>
        <v>2.2254123856501487</v>
      </c>
      <c r="F411" t="e">
        <f>NA()</f>
        <v>#N/A</v>
      </c>
      <c r="G411" t="e">
        <f>NA()</f>
        <v>#N/A</v>
      </c>
      <c r="H411" t="e">
        <f>NA()</f>
        <v>#N/A</v>
      </c>
      <c r="I411" t="e">
        <f>NA()</f>
        <v>#N/A</v>
      </c>
      <c r="J411">
        <f t="shared" si="54"/>
        <v>7.4194734845673596</v>
      </c>
      <c r="K411">
        <f t="shared" si="55"/>
        <v>2.2254123856501487</v>
      </c>
    </row>
    <row r="412" spans="1:11" x14ac:dyDescent="0.25">
      <c r="A412">
        <v>40</v>
      </c>
      <c r="C412">
        <f t="shared" si="51"/>
        <v>5.4686480984084902</v>
      </c>
      <c r="D412">
        <f t="shared" si="52"/>
        <v>7.3889051884261772</v>
      </c>
      <c r="E412">
        <f t="shared" si="53"/>
        <v>2.3734725296640096</v>
      </c>
      <c r="F412" t="e">
        <f>NA()</f>
        <v>#N/A</v>
      </c>
      <c r="G412" t="e">
        <f>NA()</f>
        <v>#N/A</v>
      </c>
      <c r="H412" t="e">
        <f>NA()</f>
        <v>#N/A</v>
      </c>
      <c r="I412" t="e">
        <f>NA()</f>
        <v>#N/A</v>
      </c>
      <c r="J412">
        <f t="shared" si="54"/>
        <v>7.3889051884261772</v>
      </c>
      <c r="K412">
        <f t="shared" si="55"/>
        <v>2.3734725296640096</v>
      </c>
    </row>
    <row r="413" spans="1:11" x14ac:dyDescent="0.25">
      <c r="A413">
        <v>41</v>
      </c>
      <c r="C413">
        <f t="shared" si="51"/>
        <v>5.5665579716357225</v>
      </c>
      <c r="D413">
        <f t="shared" si="52"/>
        <v>7.3485176643713563</v>
      </c>
      <c r="E413">
        <f t="shared" si="53"/>
        <v>2.5313519015915098</v>
      </c>
      <c r="F413" t="e">
        <f>NA()</f>
        <v>#N/A</v>
      </c>
      <c r="G413" t="e">
        <f>NA()</f>
        <v>#N/A</v>
      </c>
      <c r="H413" t="e">
        <f>NA()</f>
        <v>#N/A</v>
      </c>
      <c r="I413" t="e">
        <f>NA()</f>
        <v>#N/A</v>
      </c>
      <c r="J413">
        <f t="shared" si="54"/>
        <v>7.3485176643713563</v>
      </c>
      <c r="K413">
        <f t="shared" si="55"/>
        <v>2.5313519015915098</v>
      </c>
    </row>
    <row r="414" spans="1:11" x14ac:dyDescent="0.25">
      <c r="A414">
        <v>42</v>
      </c>
      <c r="C414">
        <f t="shared" si="51"/>
        <v>5.6644678448629548</v>
      </c>
      <c r="D414">
        <f t="shared" si="52"/>
        <v>7.2970406870908988</v>
      </c>
      <c r="E414">
        <f t="shared" si="53"/>
        <v>2.7003207267446463</v>
      </c>
      <c r="F414" t="e">
        <f>NA()</f>
        <v>#N/A</v>
      </c>
      <c r="G414" t="e">
        <f>NA()</f>
        <v>#N/A</v>
      </c>
      <c r="H414" t="e">
        <f>NA()</f>
        <v>#N/A</v>
      </c>
      <c r="I414" t="e">
        <f>NA()</f>
        <v>#N/A</v>
      </c>
      <c r="J414">
        <f t="shared" si="54"/>
        <v>7.2970406870908988</v>
      </c>
      <c r="K414">
        <f t="shared" si="55"/>
        <v>2.7003207267446463</v>
      </c>
    </row>
    <row r="415" spans="1:11" x14ac:dyDescent="0.25">
      <c r="A415">
        <v>43</v>
      </c>
      <c r="C415">
        <f t="shared" si="51"/>
        <v>5.7623777180901872</v>
      </c>
      <c r="D415">
        <f t="shared" si="52"/>
        <v>7.2327892430305321</v>
      </c>
      <c r="E415">
        <f t="shared" si="53"/>
        <v>2.882064018677692</v>
      </c>
      <c r="F415" t="e">
        <f>NA()</f>
        <v>#N/A</v>
      </c>
      <c r="G415" t="e">
        <f>NA()</f>
        <v>#N/A</v>
      </c>
      <c r="H415" t="e">
        <f>NA()</f>
        <v>#N/A</v>
      </c>
      <c r="I415" t="e">
        <f>NA()</f>
        <v>#N/A</v>
      </c>
      <c r="J415">
        <f t="shared" si="54"/>
        <v>7.2327892430305321</v>
      </c>
      <c r="K415">
        <f t="shared" si="55"/>
        <v>2.882064018677692</v>
      </c>
    </row>
    <row r="416" spans="1:11" x14ac:dyDescent="0.25">
      <c r="A416">
        <v>44</v>
      </c>
      <c r="C416">
        <f t="shared" si="51"/>
        <v>5.8602875913174204</v>
      </c>
      <c r="D416">
        <f t="shared" si="52"/>
        <v>7.153450931572916</v>
      </c>
      <c r="E416">
        <f t="shared" si="53"/>
        <v>3.0788941780079875</v>
      </c>
      <c r="F416" t="e">
        <f>NA()</f>
        <v>#N/A</v>
      </c>
      <c r="G416" t="e">
        <f>NA()</f>
        <v>#N/A</v>
      </c>
      <c r="H416" t="e">
        <f>NA()</f>
        <v>#N/A</v>
      </c>
      <c r="I416" t="e">
        <f>NA()</f>
        <v>#N/A</v>
      </c>
      <c r="J416">
        <f t="shared" si="54"/>
        <v>7.153450931572916</v>
      </c>
      <c r="K416">
        <f t="shared" si="55"/>
        <v>3.0788941780079875</v>
      </c>
    </row>
    <row r="417" spans="1:11" x14ac:dyDescent="0.25">
      <c r="A417">
        <v>45</v>
      </c>
      <c r="C417">
        <f t="shared" si="51"/>
        <v>5.9581974645446527</v>
      </c>
      <c r="D417">
        <f t="shared" si="52"/>
        <v>7.0557057257626052</v>
      </c>
      <c r="E417">
        <f t="shared" si="53"/>
        <v>3.2941312316909781</v>
      </c>
      <c r="F417" t="e">
        <f>NA()</f>
        <v>#N/A</v>
      </c>
      <c r="G417" t="e">
        <f>NA()</f>
        <v>#N/A</v>
      </c>
      <c r="H417" t="e">
        <f>NA()</f>
        <v>#N/A</v>
      </c>
      <c r="I417" t="e">
        <f>NA()</f>
        <v>#N/A</v>
      </c>
      <c r="J417">
        <f t="shared" si="54"/>
        <v>7.0557057257626052</v>
      </c>
      <c r="K417">
        <f t="shared" si="55"/>
        <v>3.2941312316909781</v>
      </c>
    </row>
    <row r="418" spans="1:11" x14ac:dyDescent="0.25">
      <c r="A418">
        <v>46</v>
      </c>
      <c r="C418">
        <f t="shared" si="51"/>
        <v>6.0561073377718859</v>
      </c>
      <c r="D418">
        <f t="shared" si="52"/>
        <v>6.9344803676565476</v>
      </c>
      <c r="E418">
        <f t="shared" si="53"/>
        <v>3.5328484376697151</v>
      </c>
      <c r="F418" t="e">
        <f>NA()</f>
        <v>#N/A</v>
      </c>
      <c r="G418" t="e">
        <f>NA()</f>
        <v>#N/A</v>
      </c>
      <c r="H418" t="e">
        <f>NA()</f>
        <v>#N/A</v>
      </c>
      <c r="I418" t="e">
        <f>NA()</f>
        <v>#N/A</v>
      </c>
      <c r="J418">
        <f t="shared" si="54"/>
        <v>6.9344803676565476</v>
      </c>
      <c r="K418">
        <f t="shared" si="55"/>
        <v>3.5328484376697151</v>
      </c>
    </row>
    <row r="419" spans="1:11" x14ac:dyDescent="0.25">
      <c r="A419">
        <v>47</v>
      </c>
      <c r="C419">
        <f t="shared" si="51"/>
        <v>6.1540172109991182</v>
      </c>
      <c r="D419">
        <f t="shared" si="52"/>
        <v>6.7812844042155724</v>
      </c>
      <c r="E419">
        <f t="shared" si="53"/>
        <v>3.8035362489833684</v>
      </c>
      <c r="F419" t="e">
        <f>NA()</f>
        <v>#N/A</v>
      </c>
      <c r="G419" t="e">
        <f>NA()</f>
        <v>#N/A</v>
      </c>
      <c r="H419" t="e">
        <f>NA()</f>
        <v>#N/A</v>
      </c>
      <c r="I419" t="e">
        <f>NA()</f>
        <v>#N/A</v>
      </c>
      <c r="J419">
        <f t="shared" si="54"/>
        <v>6.7812844042155724</v>
      </c>
      <c r="K419">
        <f t="shared" si="55"/>
        <v>3.8035362489833684</v>
      </c>
    </row>
    <row r="420" spans="1:11" x14ac:dyDescent="0.25">
      <c r="A420">
        <v>48</v>
      </c>
      <c r="C420">
        <f t="shared" si="51"/>
        <v>6.2519270842263506</v>
      </c>
      <c r="D420">
        <f t="shared" si="52"/>
        <v>6.5796813358615811</v>
      </c>
      <c r="E420">
        <f t="shared" si="53"/>
        <v>4.1226311652100396</v>
      </c>
      <c r="F420" t="e">
        <f>NA()</f>
        <v>#N/A</v>
      </c>
      <c r="G420" t="e">
        <f>NA()</f>
        <v>#N/A</v>
      </c>
      <c r="H420" t="e">
        <f>NA()</f>
        <v>#N/A</v>
      </c>
      <c r="I420" t="e">
        <f>NA()</f>
        <v>#N/A</v>
      </c>
      <c r="J420">
        <f t="shared" si="54"/>
        <v>6.5796813358615811</v>
      </c>
      <c r="K420">
        <f t="shared" si="55"/>
        <v>4.1226311652100396</v>
      </c>
    </row>
    <row r="421" spans="1:11" x14ac:dyDescent="0.25">
      <c r="A421">
        <v>49</v>
      </c>
      <c r="C421">
        <f t="shared" si="51"/>
        <v>6.3498369574535838</v>
      </c>
      <c r="D421">
        <f t="shared" si="52"/>
        <v>6.2876028897555285</v>
      </c>
      <c r="E421">
        <f t="shared" si="53"/>
        <v>4.532201459188772</v>
      </c>
      <c r="F421" t="e">
        <f>NA()</f>
        <v>#N/A</v>
      </c>
      <c r="G421" t="e">
        <f>NA()</f>
        <v>#N/A</v>
      </c>
      <c r="H421" t="e">
        <f>NA()</f>
        <v>#N/A</v>
      </c>
      <c r="I421" t="e">
        <f>NA()</f>
        <v>#N/A</v>
      </c>
      <c r="J421">
        <f t="shared" si="54"/>
        <v>6.2876028897555285</v>
      </c>
      <c r="K421">
        <f t="shared" si="55"/>
        <v>4.532201459188772</v>
      </c>
    </row>
    <row r="422" spans="1:11" x14ac:dyDescent="0.25">
      <c r="A422">
        <v>50</v>
      </c>
      <c r="C422">
        <f t="shared" si="51"/>
        <v>6.4477468306808161</v>
      </c>
      <c r="D422">
        <f t="shared" si="52"/>
        <v>5.4686481365740836</v>
      </c>
      <c r="E422">
        <f t="shared" si="53"/>
        <v>5.4686480602428951</v>
      </c>
      <c r="F422" t="e">
        <f>NA()</f>
        <v>#N/A</v>
      </c>
      <c r="G422" t="e">
        <f>NA()</f>
        <v>#N/A</v>
      </c>
      <c r="H422" t="e">
        <f>NA()</f>
        <v>#N/A</v>
      </c>
      <c r="I422" t="e">
        <f>NA()</f>
        <v>#N/A</v>
      </c>
      <c r="J422">
        <f t="shared" si="54"/>
        <v>5.4686481365740836</v>
      </c>
      <c r="K422">
        <f t="shared" si="55"/>
        <v>5.4686480602428951</v>
      </c>
    </row>
  </sheetData>
  <mergeCells count="2">
    <mergeCell ref="D1:F1"/>
    <mergeCell ref="D11:F1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Mixture of 2 Gaussian dist.</vt:lpstr>
      <vt:lpstr>Simulated data with conf. reg.</vt:lpstr>
      <vt:lpstr>Simulation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2020-03-17T07:13:04Z</dcterms:created>
  <dcterms:modified xsi:type="dcterms:W3CDTF">2021-04-16T09:35:33Z</dcterms:modified>
</cp:coreProperties>
</file>